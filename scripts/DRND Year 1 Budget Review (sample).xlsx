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Summary" state="visible" r:id="rId5"/>
    <sheet sheetId="3" name="Raw Data" state="visible" r:id="rId6"/>
  </sheets>
  <calcPr calcId="171027"/>
</workbook>
</file>

<file path=xl/sharedStrings.xml><?xml version="1.0" encoding="utf-8"?>
<sst xmlns="http://schemas.openxmlformats.org/spreadsheetml/2006/main" count="1924" uniqueCount="1085">
  <si>
    <t>Deer Ridge Apartments</t>
  </si>
  <si>
    <t>(drnd)</t>
  </si>
  <si>
    <t>Year 1 Budget · Sep-26 – Aug-27</t>
  </si>
  <si>
    <t>Units:</t>
  </si>
  <si>
    <t>Total Income -</t>
  </si>
  <si>
    <t>Total Expense -</t>
  </si>
  <si>
    <t>NOI -</t>
  </si>
  <si>
    <t>Interest -</t>
  </si>
  <si>
    <t>Principal -</t>
  </si>
  <si>
    <t>Cash Flow -</t>
  </si>
  <si>
    <t>Cash on Cash -</t>
  </si>
  <si>
    <t>Capital:</t>
  </si>
  <si>
    <t>GL Code</t>
  </si>
  <si>
    <t>GL Name</t>
  </si>
  <si>
    <t>Notes</t>
  </si>
  <si>
    <t>Driver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</si>
  <si>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</si>
  <si>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</si>
  <si>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</si>
  <si>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</si>
  <si>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</si>
  <si>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</si>
  <si>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</si>
  <si>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</si>
  <si>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</si>
  <si>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</si>
  <si>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</si>
  <si>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</si>
  <si>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Total Year 1 Budget</t>
  </si>
  <si>
    <t>Year 1 UW Budget</t>
  </si>
  <si>
    <t>Minot Budget at 163 units</t>
  </si>
  <si>
    <t>Total Per Unit</t>
  </si>
  <si>
    <t>Per Unit / Month</t>
  </si>
  <si>
    <t>Notes for Budget Upload</t>
  </si>
  <si>
    <t>4991</t>
  </si>
  <si>
    <t xml:space="preserve"> INCOME</t>
  </si>
  <si>
    <t>4992</t>
  </si>
  <si>
    <t xml:space="preserve"> RENTAL INCOME</t>
  </si>
  <si>
    <t>4993</t>
  </si>
  <si>
    <t xml:space="preserve"> NET GROSS POTENTIAL RENT</t>
  </si>
  <si>
    <t>4994</t>
  </si>
  <si>
    <t xml:space="preserve">    TENANT GROSS POTENTIAL</t>
  </si>
  <si>
    <t>rent roll GPR</t>
  </si>
  <si>
    <t>4995</t>
  </si>
  <si>
    <t xml:space="preserve">    HAP CONTRACT RENT</t>
  </si>
  <si>
    <t/>
  </si>
  <si>
    <t>4996</t>
  </si>
  <si>
    <t xml:space="preserve">    HAP VOUCHER RENT</t>
  </si>
  <si>
    <t>5003</t>
  </si>
  <si>
    <t xml:space="preserve">    LOSS/GAIN TO LEASE</t>
  </si>
  <si>
    <t>LTL burnoff</t>
  </si>
  <si>
    <t>5004</t>
  </si>
  <si>
    <t xml:space="preserve">  TOTAL NET GROSS POTENTIAL RENT</t>
  </si>
  <si>
    <t>5017</t>
  </si>
  <si>
    <t xml:space="preserve"> CONCESSIONS</t>
  </si>
  <si>
    <t>5018</t>
  </si>
  <si>
    <t xml:space="preserve">    BOND CONCESSION</t>
  </si>
  <si>
    <t>5019</t>
  </si>
  <si>
    <t xml:space="preserve">    PEP CONCESSION</t>
  </si>
  <si>
    <t>UW cat 2 share</t>
  </si>
  <si>
    <t>5020</t>
  </si>
  <si>
    <t xml:space="preserve">    RENT CONCESSION - RECURRING</t>
  </si>
  <si>
    <t>5021</t>
  </si>
  <si>
    <t xml:space="preserve">    RENT CONCESSION - ONE-TIME</t>
  </si>
  <si>
    <t>5022</t>
  </si>
  <si>
    <t xml:space="preserve">    CONCESSION RECAPTURE</t>
  </si>
  <si>
    <t>5023</t>
  </si>
  <si>
    <t xml:space="preserve">    RENEWAL CONCESSION</t>
  </si>
  <si>
    <t>5024</t>
  </si>
  <si>
    <t xml:space="preserve">    MOVE-IN CONCESSION</t>
  </si>
  <si>
    <t>5025</t>
  </si>
  <si>
    <t xml:space="preserve">    REFERRAL CONCESSION</t>
  </si>
  <si>
    <t>5027</t>
  </si>
  <si>
    <t xml:space="preserve">    SUMMER STORAGE CONCESSION</t>
  </si>
  <si>
    <t>5028</t>
  </si>
  <si>
    <t xml:space="preserve">    FIRE CONCESSION</t>
  </si>
  <si>
    <t>5029</t>
  </si>
  <si>
    <t xml:space="preserve">  TOTAL CONCESSIONS</t>
  </si>
  <si>
    <t>5030</t>
  </si>
  <si>
    <t xml:space="preserve"> RENTAL LOSS</t>
  </si>
  <si>
    <t>5031</t>
  </si>
  <si>
    <t xml:space="preserve">    Less: VACANCY</t>
  </si>
  <si>
    <t>vacancy % of GPR</t>
  </si>
  <si>
    <t>5032</t>
  </si>
  <si>
    <t xml:space="preserve">    Less: MODELS</t>
  </si>
  <si>
    <t>5033</t>
  </si>
  <si>
    <t xml:space="preserve">    Less: ADMIN</t>
  </si>
  <si>
    <t>5034</t>
  </si>
  <si>
    <t xml:space="preserve">    Less: DOWN</t>
  </si>
  <si>
    <t>5035</t>
  </si>
  <si>
    <t xml:space="preserve">    Less: CURRENT DELINQUENCY</t>
  </si>
  <si>
    <t>5036</t>
  </si>
  <si>
    <t xml:space="preserve">    PRIOR PERIOD COLLECTIONS</t>
  </si>
  <si>
    <t>5040</t>
  </si>
  <si>
    <t xml:space="preserve">    WRITE-OFFS</t>
  </si>
  <si>
    <t>5049</t>
  </si>
  <si>
    <t xml:space="preserve">  TOTAL RENTAL LOSS</t>
  </si>
  <si>
    <t>5070</t>
  </si>
  <si>
    <t xml:space="preserve">  TOTAL RENTAL INCOME</t>
  </si>
  <si>
    <t>5100</t>
  </si>
  <si>
    <t xml:space="preserve"> OTHER INCOME</t>
  </si>
  <si>
    <t>5103</t>
  </si>
  <si>
    <t xml:space="preserve">    ALARM FEE</t>
  </si>
  <si>
    <t>5104</t>
  </si>
  <si>
    <t xml:space="preserve">    AMENITY MEMBERSHIP</t>
  </si>
  <si>
    <t>5105</t>
  </si>
  <si>
    <t xml:space="preserve">    APPLICATION FEES</t>
  </si>
  <si>
    <t>UW cat 5 share</t>
  </si>
  <si>
    <t>5110</t>
  </si>
  <si>
    <t xml:space="preserve">    BAD DEBT RECOVERY</t>
  </si>
  <si>
    <t>5112</t>
  </si>
  <si>
    <t xml:space="preserve">    CELL TOWER RENT</t>
  </si>
  <si>
    <t>5115</t>
  </si>
  <si>
    <t xml:space="preserve">    CABLE TV/INTERNET</t>
  </si>
  <si>
    <t>5116</t>
  </si>
  <si>
    <t xml:space="preserve">    CORPORATE FEES</t>
  </si>
  <si>
    <t>5117</t>
  </si>
  <si>
    <t xml:space="preserve">    CONVENIENCE FEE</t>
  </si>
  <si>
    <t>5118</t>
  </si>
  <si>
    <t xml:space="preserve">    COMMERCIAL RENT</t>
  </si>
  <si>
    <t>5119</t>
  </si>
  <si>
    <t xml:space="preserve">    VENDOR COMMISSIONS</t>
  </si>
  <si>
    <t>5120</t>
  </si>
  <si>
    <t xml:space="preserve">    DAMAGE REIMBURSEMENT</t>
  </si>
  <si>
    <t>5121</t>
  </si>
  <si>
    <t xml:space="preserve">    FURNITURE RENTAL INCOME</t>
  </si>
  <si>
    <t>5122</t>
  </si>
  <si>
    <t xml:space="preserve">    HAP UTILITY ALLOWANCE</t>
  </si>
  <si>
    <t>5124</t>
  </si>
  <si>
    <t xml:space="preserve">    HAP REPAYMENT EXPENSE RECOVERY</t>
  </si>
  <si>
    <t>5125</t>
  </si>
  <si>
    <t xml:space="preserve">    INTEREST INCOME</t>
  </si>
  <si>
    <t>5126</t>
  </si>
  <si>
    <t xml:space="preserve">    INSURANCE NON-COMPLIANCE FEES</t>
  </si>
  <si>
    <t>5130</t>
  </si>
  <si>
    <t xml:space="preserve">    OTHER MISCELLANEOUS INCOME</t>
  </si>
  <si>
    <t>5131</t>
  </si>
  <si>
    <t xml:space="preserve">    EQUIPMENT LEASE</t>
  </si>
  <si>
    <t>5132</t>
  </si>
  <si>
    <t xml:space="preserve">    WASHER/DRYER RENTAL INCOME</t>
  </si>
  <si>
    <t>5135</t>
  </si>
  <si>
    <t xml:space="preserve">    LAUNDRY INCOME</t>
  </si>
  <si>
    <t>5136</t>
  </si>
  <si>
    <t xml:space="preserve">    STORAGE UNIT INCOME</t>
  </si>
  <si>
    <t>5138</t>
  </si>
  <si>
    <t xml:space="preserve">    CLUBHOUSE RENTAL</t>
  </si>
  <si>
    <t>5140</t>
  </si>
  <si>
    <t xml:space="preserve">    LEASE TERMINATION</t>
  </si>
  <si>
    <t>5145</t>
  </si>
  <si>
    <t xml:space="preserve">    LEGAL FEES</t>
  </si>
  <si>
    <t>5147</t>
  </si>
  <si>
    <t xml:space="preserve">    MODEL INCOME</t>
  </si>
  <si>
    <t>5149</t>
  </si>
  <si>
    <t xml:space="preserve">    HOLD OVER COMMERCIAL</t>
  </si>
  <si>
    <t>5150</t>
  </si>
  <si>
    <t xml:space="preserve">    MONTH-TO-MONTH</t>
  </si>
  <si>
    <t>5151</t>
  </si>
  <si>
    <t xml:space="preserve">    SHORT TERM LEASE PREMIUM</t>
  </si>
  <si>
    <t>5152</t>
  </si>
  <si>
    <t xml:space="preserve">    DEPOSITS FORFEITURE</t>
  </si>
  <si>
    <t>5155</t>
  </si>
  <si>
    <t xml:space="preserve">    NSF FEES INCOME</t>
  </si>
  <si>
    <t>5156</t>
  </si>
  <si>
    <t xml:space="preserve">    CREDIT APPROVAL FEE</t>
  </si>
  <si>
    <t>5157</t>
  </si>
  <si>
    <t xml:space="preserve">    NON-REFUND ADMIN FEE</t>
  </si>
  <si>
    <t>5158</t>
  </si>
  <si>
    <t xml:space="preserve">    PEST CONTROL FEE</t>
  </si>
  <si>
    <t>5159</t>
  </si>
  <si>
    <t xml:space="preserve">    PARKING GARAGE-MONTHLY NON-TENANT</t>
  </si>
  <si>
    <t>5160</t>
  </si>
  <si>
    <t xml:space="preserve">    PARKING INCOME</t>
  </si>
  <si>
    <t>5161</t>
  </si>
  <si>
    <t xml:space="preserve">    PARKING GARAGE INCOME</t>
  </si>
  <si>
    <t>5162</t>
  </si>
  <si>
    <t xml:space="preserve">    COMMERCIAL PARKING GARAGE-OTHER</t>
  </si>
  <si>
    <t>5163</t>
  </si>
  <si>
    <t xml:space="preserve">    PAYMENT PLAN FEE</t>
  </si>
  <si>
    <t>5164</t>
  </si>
  <si>
    <t xml:space="preserve">    TRASH REIM - VALET SVC</t>
  </si>
  <si>
    <t>5165</t>
  </si>
  <si>
    <t xml:space="preserve">    PET FEE / RENT</t>
  </si>
  <si>
    <t>5166</t>
  </si>
  <si>
    <t xml:space="preserve">    INITIAL PET MOVE IN CHARGE</t>
  </si>
  <si>
    <t>5167</t>
  </si>
  <si>
    <t xml:space="preserve">    SEWER REIM</t>
  </si>
  <si>
    <t>UW cat 4 share</t>
  </si>
  <si>
    <t>5168</t>
  </si>
  <si>
    <t xml:space="preserve">    TRANSFER FEE</t>
  </si>
  <si>
    <t>5169</t>
  </si>
  <si>
    <t xml:space="preserve">    TRASH REIM</t>
  </si>
  <si>
    <t>5170</t>
  </si>
  <si>
    <t xml:space="preserve">    UTILITIES REIM</t>
  </si>
  <si>
    <t>5171</t>
  </si>
  <si>
    <t xml:space="preserve">    GAS REIM</t>
  </si>
  <si>
    <t>5172</t>
  </si>
  <si>
    <t xml:space="preserve">    STREET REIM</t>
  </si>
  <si>
    <t>5174</t>
  </si>
  <si>
    <t xml:space="preserve">    WATER REIM</t>
  </si>
  <si>
    <t>5175</t>
  </si>
  <si>
    <t xml:space="preserve">    VENDING MACHINES</t>
  </si>
  <si>
    <t>5178</t>
  </si>
  <si>
    <t xml:space="preserve">    VENDOR REBATES</t>
  </si>
  <si>
    <t>5180</t>
  </si>
  <si>
    <t xml:space="preserve">    OTHER INCOME</t>
  </si>
  <si>
    <t>5181</t>
  </si>
  <si>
    <t xml:space="preserve">    OTHER COMMISSION INCOME</t>
  </si>
  <si>
    <t>5183</t>
  </si>
  <si>
    <t xml:space="preserve">    COMM- CAM RECOVERY</t>
  </si>
  <si>
    <t>5184</t>
  </si>
  <si>
    <t xml:space="preserve">    COMM- INS RECOVERY</t>
  </si>
  <si>
    <t>5185</t>
  </si>
  <si>
    <t xml:space="preserve">    COMM - TAX RECOVERY</t>
  </si>
  <si>
    <t>5186</t>
  </si>
  <si>
    <t xml:space="preserve">    COMM- FIXED RECOVERY</t>
  </si>
  <si>
    <t>5190</t>
  </si>
  <si>
    <t xml:space="preserve">  NET OTHER INCOME</t>
  </si>
  <si>
    <t>5500</t>
  </si>
  <si>
    <t xml:space="preserve">  TOTAL INCOME</t>
  </si>
  <si>
    <t>5999</t>
  </si>
  <si>
    <t xml:space="preserve"> EXPENSES</t>
  </si>
  <si>
    <t>6000</t>
  </si>
  <si>
    <t xml:space="preserve"> OPERATING EXPENSES</t>
  </si>
  <si>
    <t>6100</t>
  </si>
  <si>
    <t xml:space="preserve"> FIXED ADMINISTRATIVE</t>
  </si>
  <si>
    <t>6102</t>
  </si>
  <si>
    <t xml:space="preserve">    ACCOUNTING FEES</t>
  </si>
  <si>
    <t>UW cat 9 share</t>
  </si>
  <si>
    <t>6104</t>
  </si>
  <si>
    <t xml:space="preserve">    AUTO INSURANCE</t>
  </si>
  <si>
    <t>6108</t>
  </si>
  <si>
    <t xml:space="preserve">    INSURANCE EXPENSE</t>
  </si>
  <si>
    <t>UW cat 6 share</t>
  </si>
  <si>
    <t>6110</t>
  </si>
  <si>
    <t xml:space="preserve">    INSURANCE - FLOOD</t>
  </si>
  <si>
    <t>6112</t>
  </si>
  <si>
    <t xml:space="preserve">    MANAGEMENT FEE</t>
  </si>
  <si>
    <t>3.00% of income</t>
  </si>
  <si>
    <t>6113</t>
  </si>
  <si>
    <t xml:space="preserve">    PERSONAL PROPERTY TAX</t>
  </si>
  <si>
    <t>6115</t>
  </si>
  <si>
    <t xml:space="preserve">    CAM EXPENSE</t>
  </si>
  <si>
    <t>6116</t>
  </si>
  <si>
    <t xml:space="preserve">    REAL ESTATE TAXES</t>
  </si>
  <si>
    <t>UW cat 8 share</t>
  </si>
  <si>
    <t>6117</t>
  </si>
  <si>
    <t xml:space="preserve">    FRANCHISE TAX</t>
  </si>
  <si>
    <t>6119</t>
  </si>
  <si>
    <t xml:space="preserve">    HOA FEES</t>
  </si>
  <si>
    <t>6122</t>
  </si>
  <si>
    <t xml:space="preserve">    LOAN FEES</t>
  </si>
  <si>
    <t>6140</t>
  </si>
  <si>
    <t xml:space="preserve">    INCOME TAX</t>
  </si>
  <si>
    <t>6170</t>
  </si>
  <si>
    <t xml:space="preserve">  TOTAL FIXED ADMINISTRATIVE</t>
  </si>
  <si>
    <t>6300</t>
  </si>
  <si>
    <t xml:space="preserve"> ADMINISTRATIVE</t>
  </si>
  <si>
    <t>6302</t>
  </si>
  <si>
    <t xml:space="preserve">    ADMIN ADVERTISING</t>
  </si>
  <si>
    <t>6305</t>
  </si>
  <si>
    <t xml:space="preserve">    AUTO FUEL</t>
  </si>
  <si>
    <t>6306</t>
  </si>
  <si>
    <t xml:space="preserve">    AUTO MAINTENANCE</t>
  </si>
  <si>
    <t>6308</t>
  </si>
  <si>
    <t xml:space="preserve">    BANK CHARGES</t>
  </si>
  <si>
    <t>6309</t>
  </si>
  <si>
    <t xml:space="preserve">    COLLECTION FEES</t>
  </si>
  <si>
    <t>6310</t>
  </si>
  <si>
    <t xml:space="preserve">    CONSULTING SERVICE</t>
  </si>
  <si>
    <t>6311</t>
  </si>
  <si>
    <t xml:space="preserve">    PAYMENT PROCESSING FEES</t>
  </si>
  <si>
    <t>6312</t>
  </si>
  <si>
    <t xml:space="preserve">    CREDIT / BACKGROUND CHECKS</t>
  </si>
  <si>
    <t>6314</t>
  </si>
  <si>
    <t xml:space="preserve">    CORPORATE APARTMENT</t>
  </si>
  <si>
    <t>6315</t>
  </si>
  <si>
    <t xml:space="preserve">    DONATIONS</t>
  </si>
  <si>
    <t>6316</t>
  </si>
  <si>
    <t xml:space="preserve">    EDUCATION / DUES</t>
  </si>
  <si>
    <t>6317</t>
  </si>
  <si>
    <t xml:space="preserve">    IN-HOUSE TRAINING</t>
  </si>
  <si>
    <t>6318</t>
  </si>
  <si>
    <t xml:space="preserve">    EMPLOYEE RELATIONS</t>
  </si>
  <si>
    <t>6319</t>
  </si>
  <si>
    <t xml:space="preserve">    LATE FEES</t>
  </si>
  <si>
    <t>6320</t>
  </si>
  <si>
    <t xml:space="preserve">    LEGAL SERVICES</t>
  </si>
  <si>
    <t>6322</t>
  </si>
  <si>
    <t xml:space="preserve">    LEGAL - EVICTIONS</t>
  </si>
  <si>
    <t>6324</t>
  </si>
  <si>
    <t xml:space="preserve">    LICENSES / MINOR TAXES</t>
  </si>
  <si>
    <t>6325</t>
  </si>
  <si>
    <t xml:space="preserve">    OFFICE LEASE</t>
  </si>
  <si>
    <t>6326</t>
  </si>
  <si>
    <t xml:space="preserve">    OFFICE EQUIPMENT LEASE</t>
  </si>
  <si>
    <t>6327</t>
  </si>
  <si>
    <t xml:space="preserve">    CORP EQUIPMENT LEASES</t>
  </si>
  <si>
    <t>6328</t>
  </si>
  <si>
    <t xml:space="preserve">    OFFICE EQUIPMENT PURCHASES</t>
  </si>
  <si>
    <t>6329</t>
  </si>
  <si>
    <t xml:space="preserve">    IT EQUIPMENT</t>
  </si>
  <si>
    <t>6330</t>
  </si>
  <si>
    <t xml:space="preserve">    OFFICE EQUIPMENT REPAIRS</t>
  </si>
  <si>
    <t>6331</t>
  </si>
  <si>
    <t xml:space="preserve">    COMPUTER SOFTWARE</t>
  </si>
  <si>
    <t>6332</t>
  </si>
  <si>
    <t xml:space="preserve">    OFFICE SUPPLIES</t>
  </si>
  <si>
    <t>6334</t>
  </si>
  <si>
    <t xml:space="preserve">    POSTAGE / FED-EX</t>
  </si>
  <si>
    <t>6335</t>
  </si>
  <si>
    <t xml:space="preserve">    PARKING FEES</t>
  </si>
  <si>
    <t>6336</t>
  </si>
  <si>
    <t xml:space="preserve">    ADMINISTRATIVE PRINT/FORMS</t>
  </si>
  <si>
    <t>6338</t>
  </si>
  <si>
    <t xml:space="preserve">    RELOCATION EXPENSE</t>
  </si>
  <si>
    <t>6340</t>
  </si>
  <si>
    <t xml:space="preserve">    STORAGE RENTAL</t>
  </si>
  <si>
    <t>6342</t>
  </si>
  <si>
    <t xml:space="preserve">    MILEAGE REIMBURSEMENTS</t>
  </si>
  <si>
    <t>6343</t>
  </si>
  <si>
    <t xml:space="preserve">    TRAVEL</t>
  </si>
  <si>
    <t>6350</t>
  </si>
  <si>
    <t xml:space="preserve">    THIRD PARTY BILLING</t>
  </si>
  <si>
    <t>6359</t>
  </si>
  <si>
    <t xml:space="preserve">    USE TAX EXPENSE</t>
  </si>
  <si>
    <t>6360</t>
  </si>
  <si>
    <t xml:space="preserve">    NEW PROJECT DEVELOPMENT</t>
  </si>
  <si>
    <t>6362</t>
  </si>
  <si>
    <t xml:space="preserve">    CORP. TEAM RELATIONS DEPT</t>
  </si>
  <si>
    <t>6363</t>
  </si>
  <si>
    <t xml:space="preserve">    WASHER/DRYER RENTAL</t>
  </si>
  <si>
    <t>6364</t>
  </si>
  <si>
    <t xml:space="preserve">    LAUNDRY ROOM EXPENSES</t>
  </si>
  <si>
    <t>6365</t>
  </si>
  <si>
    <t xml:space="preserve">    OTHER ADMINISTRATIVE EXP</t>
  </si>
  <si>
    <t>6366</t>
  </si>
  <si>
    <t xml:space="preserve">    RECRUITING - GENERAL ADMIN</t>
  </si>
  <si>
    <t>6367</t>
  </si>
  <si>
    <t xml:space="preserve">    RECRUITING - DIRECT JOB ADS</t>
  </si>
  <si>
    <t>6368</t>
  </si>
  <si>
    <t xml:space="preserve">    RECRUITING - OUTREACH PROGRAMS</t>
  </si>
  <si>
    <t>6370</t>
  </si>
  <si>
    <t xml:space="preserve">  TOTAL ADMINISTRATIVE EXP</t>
  </si>
  <si>
    <t>6371</t>
  </si>
  <si>
    <t xml:space="preserve"> CORPORATE EVENTS</t>
  </si>
  <si>
    <t>6375</t>
  </si>
  <si>
    <t xml:space="preserve">    ANNUAL INVESTOR MEETING</t>
  </si>
  <si>
    <t>6381</t>
  </si>
  <si>
    <t xml:space="preserve">    ANNUAL MI FISH FRY</t>
  </si>
  <si>
    <t>6383</t>
  </si>
  <si>
    <t xml:space="preserve">    HOLIDAY PARTY</t>
  </si>
  <si>
    <t>6385</t>
  </si>
  <si>
    <t xml:space="preserve">    INDUSTRY CONFERENCES</t>
  </si>
  <si>
    <t>6386</t>
  </si>
  <si>
    <t xml:space="preserve">    MAINTENANCE BOOTCAMP</t>
  </si>
  <si>
    <t>6387</t>
  </si>
  <si>
    <t xml:space="preserve">    PROPERTY MANAGER BOOTCAMP</t>
  </si>
  <si>
    <t>6390</t>
  </si>
  <si>
    <t xml:space="preserve">    DEPARTMENT RETREATS</t>
  </si>
  <si>
    <t>6392</t>
  </si>
  <si>
    <t xml:space="preserve">    SPORTING EVENTS</t>
  </si>
  <si>
    <t>6399</t>
  </si>
  <si>
    <t xml:space="preserve">  TOTAL CORPORATE EVENTS</t>
  </si>
  <si>
    <t>6400</t>
  </si>
  <si>
    <t xml:space="preserve"> PAYROLL</t>
  </si>
  <si>
    <t>6402</t>
  </si>
  <si>
    <t xml:space="preserve">    ADMINISTRATIVE GROSS WAGES</t>
  </si>
  <si>
    <t>payroll model wages</t>
  </si>
  <si>
    <t>6404</t>
  </si>
  <si>
    <t xml:space="preserve">    MAINTENANCE GROSS WAGES</t>
  </si>
  <si>
    <t>6405</t>
  </si>
  <si>
    <t xml:space="preserve">    LANDSCAPING GROSS WAGES</t>
  </si>
  <si>
    <t>6406</t>
  </si>
  <si>
    <t xml:space="preserve">    COURTESY PATROL WAGES</t>
  </si>
  <si>
    <t>6407</t>
  </si>
  <si>
    <t xml:space="preserve">    MAINT. ROVER GROSS WAGES</t>
  </si>
  <si>
    <t>Minot ratio 3.8% of wages</t>
  </si>
  <si>
    <t>6408</t>
  </si>
  <si>
    <t xml:space="preserve">    BONUS</t>
  </si>
  <si>
    <t>Minot ratio 8.0% of wages</t>
  </si>
  <si>
    <t>6410</t>
  </si>
  <si>
    <t xml:space="preserve">    COMMISSIONS</t>
  </si>
  <si>
    <t>Minot ratio 6.6% of wages</t>
  </si>
  <si>
    <t>6412</t>
  </si>
  <si>
    <t xml:space="preserve">    OVER-TIME  GROSS WAGES</t>
  </si>
  <si>
    <t>Minot ratio 3.2% of wages</t>
  </si>
  <si>
    <t>6413</t>
  </si>
  <si>
    <t xml:space="preserve">    EMPLOYEE RENT</t>
  </si>
  <si>
    <t>6414</t>
  </si>
  <si>
    <t xml:space="preserve">    CONTRACT LABOR</t>
  </si>
  <si>
    <t>6416</t>
  </si>
  <si>
    <t xml:space="preserve">    ADMINISTRATIVE FEE</t>
  </si>
  <si>
    <t>Minot ratio 0.6% of wages</t>
  </si>
  <si>
    <t>6418</t>
  </si>
  <si>
    <t xml:space="preserve">    EMPLOYER PAYROLL TAXES</t>
  </si>
  <si>
    <t>Minot ratio 9.7% of wages</t>
  </si>
  <si>
    <t>6420</t>
  </si>
  <si>
    <t xml:space="preserve">    WORKERS COMP</t>
  </si>
  <si>
    <t>Minot ratio 1.0% of wages</t>
  </si>
  <si>
    <t>6421</t>
  </si>
  <si>
    <t xml:space="preserve">    401(K) CONTRIBUTIONS</t>
  </si>
  <si>
    <t>Minot ratio 3.4% of wages</t>
  </si>
  <si>
    <t>6422</t>
  </si>
  <si>
    <t xml:space="preserve">    MEDICAL INSURANCE</t>
  </si>
  <si>
    <t>Minot ratio 15.1% of wages</t>
  </si>
  <si>
    <t>6424</t>
  </si>
  <si>
    <t xml:space="preserve">    DRUG / BACKGROUND / NEW HIRE</t>
  </si>
  <si>
    <t>Minot ratio 0.1% of wages</t>
  </si>
  <si>
    <t>6450</t>
  </si>
  <si>
    <t xml:space="preserve">    PAYROLL- ALLOCATIONS OUT</t>
  </si>
  <si>
    <t>6451</t>
  </si>
  <si>
    <t xml:space="preserve">    CORPORATE ALLOC-CREDIT</t>
  </si>
  <si>
    <t>6470</t>
  </si>
  <si>
    <t xml:space="preserve">  TOTAL PAYROLL EXPENSE</t>
  </si>
  <si>
    <t>6500</t>
  </si>
  <si>
    <t xml:space="preserve"> MARKETING</t>
  </si>
  <si>
    <t>6501</t>
  </si>
  <si>
    <t xml:space="preserve">    ADVERTISING - DIGITAL</t>
  </si>
  <si>
    <t>UW cat 11 share</t>
  </si>
  <si>
    <t>6502</t>
  </si>
  <si>
    <t xml:space="preserve">    ADVERTISING - ILS</t>
  </si>
  <si>
    <t>6503</t>
  </si>
  <si>
    <t xml:space="preserve">    ADVERTISING - PHOTOGRAPHY</t>
  </si>
  <si>
    <t>6504</t>
  </si>
  <si>
    <t xml:space="preserve">    ADVERTISING - PRINT</t>
  </si>
  <si>
    <t>6506</t>
  </si>
  <si>
    <t xml:space="preserve">    ADVERTISING - LOCAL VENDORS</t>
  </si>
  <si>
    <t>6508</t>
  </si>
  <si>
    <t xml:space="preserve">    APARTMENT LOCATORS</t>
  </si>
  <si>
    <t>6509</t>
  </si>
  <si>
    <t xml:space="preserve">    REPUTATION MANAGEMENT</t>
  </si>
  <si>
    <t>6510</t>
  </si>
  <si>
    <t xml:space="preserve">    RESIDENT/PROSPECT SWAG</t>
  </si>
  <si>
    <t>6511</t>
  </si>
  <si>
    <t xml:space="preserve">    MODEL APARTMENT</t>
  </si>
  <si>
    <t>6512</t>
  </si>
  <si>
    <t xml:space="preserve">    MODEL FURNITURE</t>
  </si>
  <si>
    <t>6514</t>
  </si>
  <si>
    <t xml:space="preserve">    MARKETING COLLATERAL</t>
  </si>
  <si>
    <t>6516</t>
  </si>
  <si>
    <t xml:space="preserve">    RESIDENT / PUBLIC RELATIONS</t>
  </si>
  <si>
    <t>6518</t>
  </si>
  <si>
    <t xml:space="preserve">    MARKETING - SIGNAGE</t>
  </si>
  <si>
    <t>6520</t>
  </si>
  <si>
    <t xml:space="preserve">    MARKETING SITE VISIT</t>
  </si>
  <si>
    <t>6550</t>
  </si>
  <si>
    <t xml:space="preserve">    PROPERTY WEBSITES</t>
  </si>
  <si>
    <t>6555</t>
  </si>
  <si>
    <t xml:space="preserve">    WEBSITE PORTALS</t>
  </si>
  <si>
    <t>6560</t>
  </si>
  <si>
    <t xml:space="preserve">    MARKETING ALLOCATIONS</t>
  </si>
  <si>
    <t>6565</t>
  </si>
  <si>
    <t xml:space="preserve">    OTHER MARKETING</t>
  </si>
  <si>
    <t>6568</t>
  </si>
  <si>
    <t xml:space="preserve">    COMMUNITY GOODWILL</t>
  </si>
  <si>
    <t>6570</t>
  </si>
  <si>
    <t xml:space="preserve">  TOTAL MARKETING EXPENSE</t>
  </si>
  <si>
    <t>6600</t>
  </si>
  <si>
    <t xml:space="preserve"> UTILITIES</t>
  </si>
  <si>
    <t>6601</t>
  </si>
  <si>
    <t xml:space="preserve">    CABLE - CORP UNIT</t>
  </si>
  <si>
    <t>6602</t>
  </si>
  <si>
    <t xml:space="preserve">    CABLE TV</t>
  </si>
  <si>
    <t>UW cat 12 share</t>
  </si>
  <si>
    <t>6604</t>
  </si>
  <si>
    <t xml:space="preserve">    ELECTRIC - COMMON</t>
  </si>
  <si>
    <t>6605</t>
  </si>
  <si>
    <t xml:space="preserve">    ELECTRIC - CORP UNIT</t>
  </si>
  <si>
    <t>6606</t>
  </si>
  <si>
    <t xml:space="preserve">    ELECTRIC - VACANTS</t>
  </si>
  <si>
    <t>6607</t>
  </si>
  <si>
    <t xml:space="preserve">    ELEC- COMMERCIAL</t>
  </si>
  <si>
    <t>6608</t>
  </si>
  <si>
    <t xml:space="preserve">    GAS - COMMON</t>
  </si>
  <si>
    <t>6609</t>
  </si>
  <si>
    <t xml:space="preserve">    GAS - CORP UNIT</t>
  </si>
  <si>
    <t>6610</t>
  </si>
  <si>
    <t xml:space="preserve">    GAS - VACANTS</t>
  </si>
  <si>
    <t>6611</t>
  </si>
  <si>
    <t xml:space="preserve">    GAS- COMMERCIAL</t>
  </si>
  <si>
    <t>6614</t>
  </si>
  <si>
    <t xml:space="preserve">    SEWER / STORM DRAINS</t>
  </si>
  <si>
    <t>6615</t>
  </si>
  <si>
    <t xml:space="preserve">    SEWER-COMMERCIAL</t>
  </si>
  <si>
    <t>6616</t>
  </si>
  <si>
    <t xml:space="preserve">    TELEPHONE - CELLULAR</t>
  </si>
  <si>
    <t>6617</t>
  </si>
  <si>
    <t xml:space="preserve">    TELEPHONE - CORP UNIT</t>
  </si>
  <si>
    <t>6618</t>
  </si>
  <si>
    <t xml:space="preserve">    TELEPHONE - OFFICE</t>
  </si>
  <si>
    <t>6619</t>
  </si>
  <si>
    <t xml:space="preserve">    INTERNET</t>
  </si>
  <si>
    <t>6620</t>
  </si>
  <si>
    <t xml:space="preserve">    TRASH</t>
  </si>
  <si>
    <t>6621</t>
  </si>
  <si>
    <t xml:space="preserve">    TRASH - VALET SVC</t>
  </si>
  <si>
    <t>6622</t>
  </si>
  <si>
    <t xml:space="preserve">    WATER</t>
  </si>
  <si>
    <t>6623</t>
  </si>
  <si>
    <t xml:space="preserve">    WATER- COMMERCIAL</t>
  </si>
  <si>
    <t>6630</t>
  </si>
  <si>
    <t xml:space="preserve">    INTERNET - CORP UNIT</t>
  </si>
  <si>
    <t>6650</t>
  </si>
  <si>
    <t xml:space="preserve">    UTILITY LATE FEES</t>
  </si>
  <si>
    <t>6665</t>
  </si>
  <si>
    <t xml:space="preserve">    OTHER UTILITY</t>
  </si>
  <si>
    <t>6670</t>
  </si>
  <si>
    <t xml:space="preserve">  TOTAL UTILITY EXPENSES</t>
  </si>
  <si>
    <t>6690</t>
  </si>
  <si>
    <t xml:space="preserve"> MAINTENANCE EXPENSE</t>
  </si>
  <si>
    <t>6700</t>
  </si>
  <si>
    <t xml:space="preserve"> IN-HOUSE GENERAL MAINT/SUPPLY</t>
  </si>
  <si>
    <t>6702</t>
  </si>
  <si>
    <t xml:space="preserve">    APPLIANCE PARTS/SMALL APPLIANCES</t>
  </si>
  <si>
    <t>UW cat 13 share</t>
  </si>
  <si>
    <t>6704</t>
  </si>
  <si>
    <t xml:space="preserve">    DRAPES/BLINDS</t>
  </si>
  <si>
    <t>6706</t>
  </si>
  <si>
    <t xml:space="preserve">    CARPET CLEANING SUPPLIES</t>
  </si>
  <si>
    <t>6708</t>
  </si>
  <si>
    <t xml:space="preserve">    DOORS/SUPPLIES (INTERIOR/ENTRY)</t>
  </si>
  <si>
    <t>6710</t>
  </si>
  <si>
    <t xml:space="preserve">    ELECTRICAL (INTERIOR/EXTERIOR)</t>
  </si>
  <si>
    <t>6712</t>
  </si>
  <si>
    <t xml:space="preserve">    EQUIPMENT REPAIRS</t>
  </si>
  <si>
    <t>6714</t>
  </si>
  <si>
    <t xml:space="preserve">    EQUIPMENT PURCHASES - NEW</t>
  </si>
  <si>
    <t>6716</t>
  </si>
  <si>
    <t xml:space="preserve">    EXTERMINATING SUPPLIES</t>
  </si>
  <si>
    <t>6718</t>
  </si>
  <si>
    <t xml:space="preserve">    FIRE / SAFETY SUPPLIES</t>
  </si>
  <si>
    <t>6720</t>
  </si>
  <si>
    <t xml:space="preserve">    HVAC / BOILER SUPPLIES</t>
  </si>
  <si>
    <t>6722</t>
  </si>
  <si>
    <t xml:space="preserve">    JANITORIAL SUPPLIES</t>
  </si>
  <si>
    <t>6724</t>
  </si>
  <si>
    <t xml:space="preserve">    LANDSCAPING SUPPLIES</t>
  </si>
  <si>
    <t>6726</t>
  </si>
  <si>
    <t xml:space="preserve">    LOCKS / KEYS</t>
  </si>
  <si>
    <t>6728</t>
  </si>
  <si>
    <t xml:space="preserve">    PAINT / DRYWALL</t>
  </si>
  <si>
    <t>6730</t>
  </si>
  <si>
    <t xml:space="preserve">    PLUMBING SUPPLIES</t>
  </si>
  <si>
    <t>6732</t>
  </si>
  <si>
    <t xml:space="preserve">    UNIFORMS</t>
  </si>
  <si>
    <t>6733</t>
  </si>
  <si>
    <t xml:space="preserve">    TOOLS - EMPLOYEE REIMBURSEMENT</t>
  </si>
  <si>
    <t>6734</t>
  </si>
  <si>
    <t xml:space="preserve">    POOL / REC SUPPLIES</t>
  </si>
  <si>
    <t>6736</t>
  </si>
  <si>
    <t xml:space="preserve">    WINDOWS</t>
  </si>
  <si>
    <t>6738</t>
  </si>
  <si>
    <t xml:space="preserve">    HARDWARE</t>
  </si>
  <si>
    <t>6765</t>
  </si>
  <si>
    <t xml:space="preserve">    OTHER SUPPLIES</t>
  </si>
  <si>
    <t>6770</t>
  </si>
  <si>
    <t xml:space="preserve">  TOTAL IN-HOUSE EXPENSES</t>
  </si>
  <si>
    <t>6800</t>
  </si>
  <si>
    <t xml:space="preserve"> EXTERIOR / CAM MAINTENANCE</t>
  </si>
  <si>
    <t>6802</t>
  </si>
  <si>
    <t xml:space="preserve">    CONCRETE REPAIRS</t>
  </si>
  <si>
    <t>6804</t>
  </si>
  <si>
    <t xml:space="preserve">    DOORS (EXTERIOR / CAM)</t>
  </si>
  <si>
    <t>6806</t>
  </si>
  <si>
    <t xml:space="preserve">    FENCING</t>
  </si>
  <si>
    <t>6808</t>
  </si>
  <si>
    <t xml:space="preserve">    GUTTERS / DOWN SPOUTS</t>
  </si>
  <si>
    <t>6810</t>
  </si>
  <si>
    <t xml:space="preserve">    LIFT STATION</t>
  </si>
  <si>
    <t>6812</t>
  </si>
  <si>
    <t xml:space="preserve">    PARKING / DRIVEWAYS</t>
  </si>
  <si>
    <t>6813</t>
  </si>
  <si>
    <t xml:space="preserve">    PAINT (EXTERIOR)</t>
  </si>
  <si>
    <t>6814</t>
  </si>
  <si>
    <t xml:space="preserve">    ROOF REPAIRS</t>
  </si>
  <si>
    <t>6816</t>
  </si>
  <si>
    <t xml:space="preserve">    SIGNAGE/MAINTENANCE</t>
  </si>
  <si>
    <t>6818</t>
  </si>
  <si>
    <t xml:space="preserve">    SNOW REMOVAL</t>
  </si>
  <si>
    <t>6820</t>
  </si>
  <si>
    <t xml:space="preserve">    STAIR / BANISTERS</t>
  </si>
  <si>
    <t>6822</t>
  </si>
  <si>
    <t xml:space="preserve">    STRUCTURE IMPROVEMENTS</t>
  </si>
  <si>
    <t>6824</t>
  </si>
  <si>
    <t xml:space="preserve">    OTHER EXTERIOR/CAM EXP.</t>
  </si>
  <si>
    <t>6870</t>
  </si>
  <si>
    <t xml:space="preserve">  TOTAL EXTERIOR / CAM EXP</t>
  </si>
  <si>
    <t>6900</t>
  </si>
  <si>
    <t xml:space="preserve"> CONTRACT SERVICES</t>
  </si>
  <si>
    <t>6908</t>
  </si>
  <si>
    <t xml:space="preserve">    CARPET CLEANING/REPAIRS CONTRACTOR</t>
  </si>
  <si>
    <t>6902</t>
  </si>
  <si>
    <t xml:space="preserve">    ALARM SERVICE</t>
  </si>
  <si>
    <t>6904</t>
  </si>
  <si>
    <t xml:space="preserve">    ANSWERING SERVICE</t>
  </si>
  <si>
    <t>6905</t>
  </si>
  <si>
    <t xml:space="preserve">    APPLIANCE REPAIR CONTRACTOR</t>
  </si>
  <si>
    <t>6906</t>
  </si>
  <si>
    <t xml:space="preserve">    BOILER CONTRACTOR</t>
  </si>
  <si>
    <t>6907</t>
  </si>
  <si>
    <t xml:space="preserve">    CABINETS/COUNTERTOP CONTRACTOR</t>
  </si>
  <si>
    <t>6910</t>
  </si>
  <si>
    <t xml:space="preserve">    COURTESY PATROL/SECURITY</t>
  </si>
  <si>
    <t>6912</t>
  </si>
  <si>
    <t xml:space="preserve">    DRAPE / BLINDS CONTRACTOR</t>
  </si>
  <si>
    <t>6914</t>
  </si>
  <si>
    <t xml:space="preserve">    ELECTRICAL CONTRACTOR</t>
  </si>
  <si>
    <t>6916</t>
  </si>
  <si>
    <t xml:space="preserve">    ELEVATOR SERVICE</t>
  </si>
  <si>
    <t>6917</t>
  </si>
  <si>
    <t xml:space="preserve">    FIRE/SAFETY CONTRACTOR</t>
  </si>
  <si>
    <t>6918</t>
  </si>
  <si>
    <t xml:space="preserve">    EXTERMINATING CONTRACTOR</t>
  </si>
  <si>
    <t>6919</t>
  </si>
  <si>
    <t xml:space="preserve">    GARAGE DOOR CONTRACTOR</t>
  </si>
  <si>
    <t>6920</t>
  </si>
  <si>
    <t xml:space="preserve">    HVAC CONTRACTOR</t>
  </si>
  <si>
    <t>6921</t>
  </si>
  <si>
    <t xml:space="preserve">    INSPECTIONS</t>
  </si>
  <si>
    <t>6922</t>
  </si>
  <si>
    <t xml:space="preserve">    JANITORIAL CONTRACTOR</t>
  </si>
  <si>
    <t>6924</t>
  </si>
  <si>
    <t xml:space="preserve">    LANDSCAPING CONTRACTOR</t>
  </si>
  <si>
    <t>6926</t>
  </si>
  <si>
    <t xml:space="preserve">    PAINTING CONTRACTOR</t>
  </si>
  <si>
    <t>6928</t>
  </si>
  <si>
    <t xml:space="preserve">    PLUMBING CONTRACTOR</t>
  </si>
  <si>
    <t>6930</t>
  </si>
  <si>
    <t xml:space="preserve">    POOL CONTRACTOR</t>
  </si>
  <si>
    <t>6932</t>
  </si>
  <si>
    <t xml:space="preserve">    ROOFING CONTRACTOR</t>
  </si>
  <si>
    <t>6934</t>
  </si>
  <si>
    <t xml:space="preserve">    SNOW REMOVAL CONTRACTOR</t>
  </si>
  <si>
    <t>6935</t>
  </si>
  <si>
    <t xml:space="preserve">    TUB RESURFACING CONTRACTOR</t>
  </si>
  <si>
    <t>6936</t>
  </si>
  <si>
    <t xml:space="preserve">    WINDOWS CONTRACTOR</t>
  </si>
  <si>
    <t>6965</t>
  </si>
  <si>
    <t xml:space="preserve">    OTHER CONTRACTORS</t>
  </si>
  <si>
    <t>6970</t>
  </si>
  <si>
    <t xml:space="preserve">  TOTAL CONTRACT EXPENSES</t>
  </si>
  <si>
    <t>7000</t>
  </si>
  <si>
    <t xml:space="preserve"> REHAB / REPLACEMENT</t>
  </si>
  <si>
    <t>7002</t>
  </si>
  <si>
    <t xml:space="preserve">    RR - APPLIANCES</t>
  </si>
  <si>
    <t>UW cat 14 share</t>
  </si>
  <si>
    <t>7004</t>
  </si>
  <si>
    <t xml:space="preserve">    RR - CABINETS/COUNTERTOPS</t>
  </si>
  <si>
    <t>7006</t>
  </si>
  <si>
    <t xml:space="preserve">    RR - CARPET/VINYL</t>
  </si>
  <si>
    <t>7008</t>
  </si>
  <si>
    <t xml:space="preserve">    RR - DOORS(INTERIOR/ENTRY)</t>
  </si>
  <si>
    <t>7009</t>
  </si>
  <si>
    <t xml:space="preserve">    RR - FURNITURE</t>
  </si>
  <si>
    <t>7010</t>
  </si>
  <si>
    <t xml:space="preserve">    RR - DRAPES/BLINDS</t>
  </si>
  <si>
    <t>7012</t>
  </si>
  <si>
    <t xml:space="preserve">    RR - ELECTRICAL FIXTURES</t>
  </si>
  <si>
    <t>7013</t>
  </si>
  <si>
    <t xml:space="preserve">    RR - GARAGE/EXTERIOR DOORS</t>
  </si>
  <si>
    <t>7014</t>
  </si>
  <si>
    <t xml:space="preserve">    RR - HVAC/BOILER</t>
  </si>
  <si>
    <t>7015</t>
  </si>
  <si>
    <t xml:space="preserve">    RR - PAINTING</t>
  </si>
  <si>
    <t>7016</t>
  </si>
  <si>
    <t xml:space="preserve">    RR - PLUMBING FIXTURES</t>
  </si>
  <si>
    <t>7018</t>
  </si>
  <si>
    <t xml:space="preserve">    RR - PARKING/SIDEWALK</t>
  </si>
  <si>
    <t>7019</t>
  </si>
  <si>
    <t xml:space="preserve">    RR - ROOFING</t>
  </si>
  <si>
    <t>7020</t>
  </si>
  <si>
    <t xml:space="preserve">    RR - FENCING</t>
  </si>
  <si>
    <t>7025</t>
  </si>
  <si>
    <t xml:space="preserve">    RR - POOL</t>
  </si>
  <si>
    <t>7069</t>
  </si>
  <si>
    <t xml:space="preserve">    REHAB CAPITALIZATION CONTRA</t>
  </si>
  <si>
    <t>7070</t>
  </si>
  <si>
    <t xml:space="preserve">  TOTAL REHAB / REPLACE EXP</t>
  </si>
  <si>
    <t>7098</t>
  </si>
  <si>
    <t xml:space="preserve">  SUB-TOTAL MAINTENANCE EXP</t>
  </si>
  <si>
    <t>7099</t>
  </si>
  <si>
    <t xml:space="preserve">  TOTAL OPERATING EXPENSES</t>
  </si>
  <si>
    <t>7279</t>
  </si>
  <si>
    <t xml:space="preserve">  TOTAL EXPENSE</t>
  </si>
  <si>
    <t>7280</t>
  </si>
  <si>
    <t xml:space="preserve">  NET OPERATING INCOME</t>
  </si>
  <si>
    <t>7290</t>
  </si>
  <si>
    <t xml:space="preserve"> INTEREST EXPENSE</t>
  </si>
  <si>
    <t>7300</t>
  </si>
  <si>
    <t xml:space="preserve">    GENERAL INTEREST EXPENSE</t>
  </si>
  <si>
    <t>7301</t>
  </si>
  <si>
    <t xml:space="preserve">    REFI INTEREST EXPENSE</t>
  </si>
  <si>
    <t>7302</t>
  </si>
  <si>
    <t xml:space="preserve">    INTEREST ON SECURITY DEPOSITS</t>
  </si>
  <si>
    <t>7315</t>
  </si>
  <si>
    <t xml:space="preserve">  TOTAL INTEREST EXPENSE</t>
  </si>
  <si>
    <t>7320</t>
  </si>
  <si>
    <t xml:space="preserve"> SPECIAL PROJECTS</t>
  </si>
  <si>
    <t>7321</t>
  </si>
  <si>
    <t xml:space="preserve">    SP COMM. LEASE COMMISSIONS</t>
  </si>
  <si>
    <t>7322</t>
  </si>
  <si>
    <t xml:space="preserve">    SP BUILDING REPAIRS</t>
  </si>
  <si>
    <t>7323</t>
  </si>
  <si>
    <t xml:space="preserve">    SP CABINETS/COUNTERTOPS</t>
  </si>
  <si>
    <t>7324</t>
  </si>
  <si>
    <t xml:space="preserve">    SP DOORS/WINDOWS</t>
  </si>
  <si>
    <t>7325</t>
  </si>
  <si>
    <t xml:space="preserve">    SP GENERAL</t>
  </si>
  <si>
    <t>7326</t>
  </si>
  <si>
    <t xml:space="preserve">    SP  APPLIANCES</t>
  </si>
  <si>
    <t>7327</t>
  </si>
  <si>
    <t xml:space="preserve">    SP DRAPES/BLINDS</t>
  </si>
  <si>
    <t>7328</t>
  </si>
  <si>
    <t xml:space="preserve">    SP CARPETS/VINYL</t>
  </si>
  <si>
    <t>7329</t>
  </si>
  <si>
    <t xml:space="preserve">    SP FENCING</t>
  </si>
  <si>
    <t>7330</t>
  </si>
  <si>
    <t xml:space="preserve">    SP HVAC</t>
  </si>
  <si>
    <t>7331</t>
  </si>
  <si>
    <t xml:space="preserve">    SP INSPECTION EXPENSES</t>
  </si>
  <si>
    <t>7332</t>
  </si>
  <si>
    <t xml:space="preserve">    SP LABOR</t>
  </si>
  <si>
    <t>7333</t>
  </si>
  <si>
    <t xml:space="preserve">    SP ELECTRICAL-EXTERIOR</t>
  </si>
  <si>
    <t>7334</t>
  </si>
  <si>
    <t xml:space="preserve">    SP LANDSCAPING</t>
  </si>
  <si>
    <t>7335</t>
  </si>
  <si>
    <t xml:space="preserve">    SP ELECTRICAL-INTERIOR</t>
  </si>
  <si>
    <t>7336</t>
  </si>
  <si>
    <t xml:space="preserve">    SP PAINTING- EXTERIOR</t>
  </si>
  <si>
    <t>7337</t>
  </si>
  <si>
    <t xml:space="preserve">    SP FURNITURE/EQUIPMENT</t>
  </si>
  <si>
    <t>7338</t>
  </si>
  <si>
    <t xml:space="preserve">    SP PARKING</t>
  </si>
  <si>
    <t>7339</t>
  </si>
  <si>
    <t xml:space="preserve">    SP PLUMBING</t>
  </si>
  <si>
    <t>7340</t>
  </si>
  <si>
    <t xml:space="preserve">    SP SUPPLIES</t>
  </si>
  <si>
    <t>7341</t>
  </si>
  <si>
    <t xml:space="preserve">    SP WOOD REPLACEMENT</t>
  </si>
  <si>
    <t>7342</t>
  </si>
  <si>
    <t xml:space="preserve">    SP OTHER EXPENSES</t>
  </si>
  <si>
    <t>7343</t>
  </si>
  <si>
    <t xml:space="preserve">    SP PAINTING- INTERIOR</t>
  </si>
  <si>
    <t>7344</t>
  </si>
  <si>
    <t xml:space="preserve">    SP OTHER CONTRACTORS</t>
  </si>
  <si>
    <t>7345</t>
  </si>
  <si>
    <t xml:space="preserve">    SP POOL</t>
  </si>
  <si>
    <t>7346</t>
  </si>
  <si>
    <t xml:space="preserve">    SP REPAIR DOWN UNITS</t>
  </si>
  <si>
    <t>7347</t>
  </si>
  <si>
    <t xml:space="preserve">    SP ROOFING</t>
  </si>
  <si>
    <t>7348</t>
  </si>
  <si>
    <t xml:space="preserve">    SP SECURITY CAMERA</t>
  </si>
  <si>
    <t>7349</t>
  </si>
  <si>
    <t xml:space="preserve">    SP SIGNAGE</t>
  </si>
  <si>
    <t>7350</t>
  </si>
  <si>
    <t xml:space="preserve">    SP JANITORIAL</t>
  </si>
  <si>
    <t>7351</t>
  </si>
  <si>
    <t xml:space="preserve">    SP REFINANCE</t>
  </si>
  <si>
    <t>7352</t>
  </si>
  <si>
    <t xml:space="preserve">    SP FIRE</t>
  </si>
  <si>
    <t>7353</t>
  </si>
  <si>
    <t xml:space="preserve">    SP UTILITY CREDITS</t>
  </si>
  <si>
    <t>7354</t>
  </si>
  <si>
    <t xml:space="preserve">    SP ACQUISITION COSTS</t>
  </si>
  <si>
    <t>7355</t>
  </si>
  <si>
    <t xml:space="preserve">    SP REMODEL</t>
  </si>
  <si>
    <t>7356</t>
  </si>
  <si>
    <t xml:space="preserve">    SP MIMG ROVING MAINT CREW</t>
  </si>
  <si>
    <t>7357</t>
  </si>
  <si>
    <t xml:space="preserve">    SP FLOOD DAMAGE</t>
  </si>
  <si>
    <t>7358</t>
  </si>
  <si>
    <t xml:space="preserve">    SP EMERGENCY</t>
  </si>
  <si>
    <t>7359</t>
  </si>
  <si>
    <t xml:space="preserve">    SP INSURANCE REIMBURSEMENT</t>
  </si>
  <si>
    <t>7375</t>
  </si>
  <si>
    <t xml:space="preserve">    SP CLUBHOUSE REMODEL</t>
  </si>
  <si>
    <t>7385</t>
  </si>
  <si>
    <t xml:space="preserve">    SP COMMON AREA UPGRADES</t>
  </si>
  <si>
    <t>7400</t>
  </si>
  <si>
    <t xml:space="preserve">    SP ELEVATORS</t>
  </si>
  <si>
    <t>7430</t>
  </si>
  <si>
    <t xml:space="preserve">    SP SIDEWALKS</t>
  </si>
  <si>
    <t>7450</t>
  </si>
  <si>
    <t xml:space="preserve">    SP UNIT AMENITIES/UPGRADES</t>
  </si>
  <si>
    <t>7451</t>
  </si>
  <si>
    <t xml:space="preserve">    SP SUPPLIES COVID-19</t>
  </si>
  <si>
    <t>7470</t>
  </si>
  <si>
    <t xml:space="preserve">    SP PRIOR YEAR RE TAX ADJ</t>
  </si>
  <si>
    <t>7480</t>
  </si>
  <si>
    <t xml:space="preserve">    SP ADMIN</t>
  </si>
  <si>
    <t>7485</t>
  </si>
  <si>
    <t xml:space="preserve">    SP PROPERTY SALE PREP</t>
  </si>
  <si>
    <t>7490</t>
  </si>
  <si>
    <t xml:space="preserve">    SP OTHER INCOME</t>
  </si>
  <si>
    <t>7499</t>
  </si>
  <si>
    <t xml:space="preserve">    SP CAPITALIZATION CONTRA</t>
  </si>
  <si>
    <t>7500</t>
  </si>
  <si>
    <t xml:space="preserve">  TOTAL SPECIAL PROJECT EXP</t>
  </si>
  <si>
    <t>8200</t>
  </si>
  <si>
    <t xml:space="preserve">  NET INCOME BEFORE DEPRECIATION</t>
  </si>
  <si>
    <t>8499</t>
  </si>
  <si>
    <t xml:space="preserve"> DEP/AMOR EXPENSE</t>
  </si>
  <si>
    <t>8500</t>
  </si>
  <si>
    <t xml:space="preserve">    DEPRECIATION EXPENSE</t>
  </si>
  <si>
    <t>8502</t>
  </si>
  <si>
    <t xml:space="preserve">    LOSS/GAIN ON DISPOSAL OF FIXED ASSETS</t>
  </si>
  <si>
    <t>8503</t>
  </si>
  <si>
    <t xml:space="preserve">    SELLING EXPENSES</t>
  </si>
  <si>
    <t>8601</t>
  </si>
  <si>
    <t xml:space="preserve">    AMORTIZATION EXPENSE</t>
  </si>
  <si>
    <t>8602</t>
  </si>
  <si>
    <t xml:space="preserve">  TOTAL DEP/AMOR EXPENSE</t>
  </si>
  <si>
    <t>8900</t>
  </si>
  <si>
    <t xml:space="preserve"> OTHER INCOME/EXPENSES</t>
  </si>
  <si>
    <t>8930</t>
  </si>
  <si>
    <t xml:space="preserve">    ASSET MGMT FEE EXP</t>
  </si>
  <si>
    <t>8950</t>
  </si>
  <si>
    <t xml:space="preserve">  TOTAL OTHER INCOME/EXPENSE</t>
  </si>
  <si>
    <t>9000</t>
  </si>
  <si>
    <t xml:space="preserve">  NET PROFIT / LOSS</t>
  </si>
  <si>
    <t>3080</t>
  </si>
  <si>
    <t xml:space="preserve">    1ST MORTGAGE</t>
  </si>
  <si>
    <t>3090</t>
  </si>
  <si>
    <t xml:space="preserve">    2ND MORTGAGE</t>
  </si>
  <si>
    <t>3091</t>
  </si>
  <si>
    <t xml:space="preserve">    3rd MORTGAGE</t>
  </si>
  <si>
    <t>7491</t>
  </si>
  <si>
    <t xml:space="preserve">    SP INTEREST INCOME</t>
  </si>
  <si>
    <t>Deer Ridge Apartments Year 1 Budget Analysis (Sep-26 – Aug-27)</t>
  </si>
  <si>
    <t>Unit Count</t>
  </si>
  <si>
    <t>Account Summary</t>
  </si>
  <si>
    <t>Year 1 Budget</t>
  </si>
  <si>
    <t>Δ vs UW</t>
  </si>
  <si>
    <t>Per Unit</t>
  </si>
  <si>
    <t>TOTAL RENTAL INCOME</t>
  </si>
  <si>
    <t>NET OTHER INCOME</t>
  </si>
  <si>
    <t>TOTAL INCOME</t>
  </si>
  <si>
    <t>TOTAL FIXED ADMINISTRATIVE</t>
  </si>
  <si>
    <t>TOTAL ADMINISTRATIVE</t>
  </si>
  <si>
    <t>TOTAL CORPORATE EVENTS</t>
  </si>
  <si>
    <t>TOTAL PAYROLL</t>
  </si>
  <si>
    <t>TOTAL MARKETING</t>
  </si>
  <si>
    <t>TOTAL UTILITIES</t>
  </si>
  <si>
    <t>TOTAL IN-HOUSE MAINT</t>
  </si>
  <si>
    <t>TOTAL EXTERIOR/CAM</t>
  </si>
  <si>
    <t>TOTAL CONTRACT SERVICES</t>
  </si>
  <si>
    <t>TOTAL REHAB/REPLACEMENT</t>
  </si>
  <si>
    <t>TOTAL OPERATING EXPENSES</t>
  </si>
  <si>
    <t>NET OPERATING INCOME</t>
  </si>
  <si>
    <t>Interest Expense</t>
  </si>
  <si>
    <t>Principal</t>
  </si>
  <si>
    <t>Special Projects</t>
  </si>
  <si>
    <t>Cash Flow (NOI − debt service)</t>
  </si>
  <si>
    <t>Capital Contributions</t>
  </si>
  <si>
    <t>Cash on Cash Return</t>
  </si>
  <si>
    <t>Generated inputs (budgets.inputs)</t>
  </si>
  <si>
    <t>key</t>
  </si>
  <si>
    <t>value</t>
  </si>
  <si>
    <t>gpr.growthPct</t>
  </si>
  <si>
    <t>0, 0, 0, 0, 0, 0, 0, 0, 0, 0, 0, 0</t>
  </si>
  <si>
    <t>gpr.baseMonthly</t>
  </si>
  <si>
    <t>ltl.targetPct</t>
  </si>
  <si>
    <t>ltl.rampMonths</t>
  </si>
  <si>
    <t>ltl.startMonthly</t>
  </si>
  <si>
    <t>loan</t>
  </si>
  <si>
    <t>rate</t>
  </si>
  <si>
    <t>year</t>
  </si>
  <si>
    <t>units</t>
  </si>
  <si>
    <t>uwAbs.4</t>
  </si>
  <si>
    <t>uwAbs.5</t>
  </si>
  <si>
    <t>uwAbs.6</t>
  </si>
  <si>
    <t>uwAbs.8</t>
  </si>
  <si>
    <t>uwAbs.9</t>
  </si>
  <si>
    <t>uwAbs.10</t>
  </si>
  <si>
    <t>uwAbs.11</t>
  </si>
  <si>
    <t>uwAbs.12</t>
  </si>
  <si>
    <t>uwAbs.13</t>
  </si>
  <si>
    <t>uwAbs.14</t>
  </si>
  <si>
    <t>tieNoi</t>
  </si>
  <si>
    <t>capital</t>
  </si>
  <si>
    <t>mgmtPct</t>
  </si>
  <si>
    <t>tieIncome</t>
  </si>
  <si>
    <t>startMonth</t>
  </si>
  <si>
    <t>vacancyPct</t>
  </si>
  <si>
    <t>0.05, 0.05, 0.05, 0.05, 0.05, 0.05, 0.05, 0.05, 0.05, 0.05, 0.05, 0.05</t>
  </si>
  <si>
    <t>concessionPct</t>
  </si>
  <si>
    <t>rentalLossPct</t>
  </si>
  <si>
    <t>UW Year-1 by category (tie-out targets)</t>
  </si>
  <si>
    <t>pcode</t>
  </si>
  <si>
    <t>label</t>
  </si>
  <si>
    <t>UW Y1</t>
  </si>
  <si>
    <t>1</t>
  </si>
  <si>
    <t>Gross Potential Rent</t>
  </si>
  <si>
    <t>loss</t>
  </si>
  <si>
    <t>Loss to Lease</t>
  </si>
  <si>
    <t>2</t>
  </si>
  <si>
    <t>Concessions</t>
  </si>
  <si>
    <t>3</t>
  </si>
  <si>
    <t>Rental Loss (Vacancy etc.)</t>
  </si>
  <si>
    <t>4</t>
  </si>
  <si>
    <t>Utility Income</t>
  </si>
  <si>
    <t>5</t>
  </si>
  <si>
    <t>Other Income</t>
  </si>
  <si>
    <t>6</t>
  </si>
  <si>
    <t>Insurance</t>
  </si>
  <si>
    <t>7</t>
  </si>
  <si>
    <t>Management Fee</t>
  </si>
  <si>
    <t>8</t>
  </si>
  <si>
    <t>RE &amp; PP Taxes</t>
  </si>
  <si>
    <t>9</t>
  </si>
  <si>
    <t>Admin &amp; Accounting</t>
  </si>
  <si>
    <t>10</t>
  </si>
  <si>
    <t>Payroll &amp; Benefits</t>
  </si>
  <si>
    <t>11</t>
  </si>
  <si>
    <t>Marketing</t>
  </si>
  <si>
    <t>12</t>
  </si>
  <si>
    <t>Utilities</t>
  </si>
  <si>
    <t>13</t>
  </si>
  <si>
    <t>Repairs &amp; Maintenance</t>
  </si>
  <si>
    <t>14</t>
  </si>
  <si>
    <t>Rehab / Reserves</t>
  </si>
  <si>
    <t>EGI</t>
  </si>
  <si>
    <t>TOE</t>
  </si>
  <si>
    <t>NOI</t>
  </si>
  <si>
    <t>Comp set: Minot 4 12-Month Budget 2026 (Cash) (annual $, 712 units)</t>
  </si>
  <si>
    <t>gl</t>
  </si>
  <si>
    <t>comp annual $</t>
  </si>
  <si>
    <t>comp $/unit</t>
  </si>
  <si>
    <t>scaled to 163 units</t>
  </si>
  <si>
    <t>Budget lines (raw)</t>
  </si>
  <si>
    <t>annual</t>
  </si>
  <si>
    <t>override</t>
  </si>
  <si>
    <t>driver json</t>
  </si>
  <si>
    <t>{"method":"gpr"}</t>
  </si>
  <si>
    <t>{"method":"ltl"}</t>
  </si>
  <si>
    <t>{"pcode":"2","share":0.5441046876789449,"method":"catShare"}</t>
  </si>
  <si>
    <t>{"pcode":"2","share":0.13917771227765624,"method":"catShare"}</t>
  </si>
  <si>
    <t>{"pcode":"2","share":0.0432981923171974,"method":"catShare"}</t>
  </si>
  <si>
    <t>{"pcode":"2","share":0.13199580477749046,"method":"catShare"}</t>
  </si>
  <si>
    <t>{"pcode":"2","share":0.141423602948711,"method":"catShare"}</t>
  </si>
  <si>
    <t>{"method":"vacancy"}</t>
  </si>
  <si>
    <t>{"pcode":"5","share":0.015238772473419523,"method":"catShare"}</t>
  </si>
  <si>
    <t>{"pcode":"5","share":0.010088090562316063,"method":"catShare"}</t>
  </si>
  <si>
    <t>{"pcode":"5","share":0.006144513886412366,"method":"catShare"}</t>
  </si>
  <si>
    <t>{"pcode":"5","share":0.03215668196157022,"method":"catShare"}</t>
  </si>
  <si>
    <t>{"pcode":"5","share":0.4847181166253234,"method":"catShare"}</t>
  </si>
  <si>
    <t>{"pcode":"5","share":0.012166538808237776,"method":"catShare"}</t>
  </si>
  <si>
    <t>{"pcode":"5","share":0.007079359347798173,"method":"catShare"}</t>
  </si>
  <si>
    <t>{"pcode":"5","share":0.0029679015596555712,"method":"catShare"}</t>
  </si>
  <si>
    <t>{"pcode":"5","share":0.004247634231098454,"method":"catShare"}</t>
  </si>
  <si>
    <t>{"pcode":"5","share":0.036020042565264365,"method":"catShare"}</t>
  </si>
  <si>
    <t>{"pcode":"5","share":0.0014975684241233707,"method":"catShare"}</t>
  </si>
  <si>
    <t>{"pcode":"5","share":0.011322431086106996,"method":"catShare"}</t>
  </si>
  <si>
    <t>{"pcode":"5","share":0.002352523705641746,"method":"catShare"}</t>
  </si>
  <si>
    <t>{"pcode":"5","share":0.057728616038577464,"method":"catShare"}</t>
  </si>
  <si>
    <t>{"pcode":"5","share":0.0013296873118844653,"method":"catShare"}</t>
  </si>
  <si>
    <t>{"pcode":"5","share":0.015582542338303628,"method":"catShare"}</t>
  </si>
  <si>
    <t>{"pcode":"5","share":0.018701332052359167,"method":"catShare"}</t>
  </si>
  <si>
    <t>{"pcode":"5","share":0.029356661514153552,"method":"catShare"}</t>
  </si>
  <si>
    <t>{"pcode":"5","share":0.05866346149996327,"method":"catShare"}</t>
  </si>
  <si>
    <t>{"pcode":"5","share":0.013069586488242784,"method":"catShare"}</t>
  </si>
  <si>
    <t>{"pcode":"4","share":0.2792254021175856,"method":"catShare"}</t>
  </si>
  <si>
    <t>{"pcode":"5","share":0.0004356715053609756,"method":"catShare"}</t>
  </si>
  <si>
    <t>{"pcode":"4","share":0.18029737534099588,"method":"catShare"}</t>
  </si>
  <si>
    <t>{"pcode":"4","share":0.10239476634707935,"method":"catShare"}</t>
  </si>
  <si>
    <t>{"pcode":"4","share":0.1761822553684876,"method":"catShare"}</t>
  </si>
  <si>
    <t>{"pcode":"4","share":0.003527286490532725,"method":"catShare"}</t>
  </si>
  <si>
    <t>{"pcode":"4","share":0.25837291433531867,"method":"catShare"}</t>
  </si>
  <si>
    <t>{"pcode":"5","share":0.002404107807793911,"method":"catShare"}</t>
  </si>
  <si>
    <t>{"pcode":"5","share":0.02086721255806587,"method":"catShare"}</t>
  </si>
  <si>
    <t>{"pcode":"5","share":0.10612246494166575,"method":"catShare"}</t>
  </si>
  <si>
    <t>{"pcode":"5","share":0.04973848070666123,"method":"catShare"}</t>
  </si>
  <si>
    <t>{"pcode":"9","share":0.062211370143149286,"method":"catShare"}</t>
  </si>
  <si>
    <t>{"pcode":"9","share":0.02124040899795501,"method":"catShare"}</t>
  </si>
  <si>
    <t>{"pcode":"6","share":1,"method":"catShare"}</t>
  </si>
  <si>
    <t>{"pct":0.03,"method":"mgmtPct"}</t>
  </si>
  <si>
    <t>{"pcode":"8","share":1,"method":"catShare"}</t>
  </si>
  <si>
    <t>{"pcode":"9","share":0.01628433537832311,"method":"catShare"}</t>
  </si>
  <si>
    <t>{"pcode":"9","share":0.0192999591002045,"method":"catShare"}</t>
  </si>
  <si>
    <t>{"pcode":"9","share":0.0329518200408998,"method":"catShare"}</t>
  </si>
  <si>
    <t>{"pcode":"9","share":0.02471083844580777,"method":"catShare"}</t>
  </si>
  <si>
    <t>{"pcode":"9","share":0.164920245398773,"method":"catShare"}</t>
  </si>
  <si>
    <t>{"pcode":"9","share":0.19638396728016358,"method":"catShare"}</t>
  </si>
  <si>
    <t>{"pcode":"9","share":0.03997366053169734,"method":"catShare"}</t>
  </si>
  <si>
    <t>{"pcode":"9","share":0.0005863394683026585,"method":"catShare"}</t>
  </si>
  <si>
    <t>{"pcode":"9","share":0.008472310838445808,"method":"catShare"}</t>
  </si>
  <si>
    <t>{"pcode":"9","share":0.00402077709611452,"method":"catShare"}</t>
  </si>
  <si>
    <t>{"pcode":"9","share":0.09204335378323107,"method":"catShare"}</t>
  </si>
  <si>
    <t>{"pcode":"9","share":0.023516237218813907,"method":"catShare"}</t>
  </si>
  <si>
    <t>{"pcode":"9","share":0.006902413087934561,"method":"catShare"}</t>
  </si>
  <si>
    <t>{"pcode":"9","share":0.0007371779141104295,"method":"catShare"}</t>
  </si>
  <si>
    <t>{"pcode":"9","share":0.011779795501022493,"method":"catShare"}</t>
  </si>
  <si>
    <t>{"pcode":"9","share":0.0331718609406953,"method":"catShare"}</t>
  </si>
  <si>
    <t>{"pcode":"9","share":0.031790429447852764,"method":"catShare"}</t>
  </si>
  <si>
    <t>{"pcode":"9","share":0.0022115337423312884,"method":"catShare"}</t>
  </si>
  <si>
    <t>{"pcode":"9","share":0.0031165644171779142,"method":"catShare"}</t>
  </si>
  <si>
    <t>{"pcode":"9","share":0.054761226993865035,"method":"catShare"}</t>
  </si>
  <si>
    <t>{"pcode":"9","share":0.13834061349693252,"method":"catShare"}</t>
  </si>
  <si>
    <t>{"pcode":"9","share":0.0065519836400818,"method":"catShare"}</t>
  </si>
  <si>
    <t>{"method":"payrollModel"}</t>
  </si>
  <si>
    <t>{"ratio":0.03828,"method":"burdenRatio"}</t>
  </si>
  <si>
    <t>{"ratio":0.07961,"method":"burdenRatio"}</t>
  </si>
  <si>
    <t>{"ratio":0.06555,"method":"burdenRatio"}</t>
  </si>
  <si>
    <t>{"ratio":0.03197,"method":"burdenRatio"}</t>
  </si>
  <si>
    <t>{"ratio":0.00605,"method":"burdenRatio"}</t>
  </si>
  <si>
    <t>{"ratio":0.09668,"method":"burdenRatio"}</t>
  </si>
  <si>
    <t>{"ratio":0.00983,"method":"burdenRatio"}</t>
  </si>
  <si>
    <t>{"ratio":0.03361,"method":"burdenRatio"}</t>
  </si>
  <si>
    <t>{"ratio":0.15127,"method":"burdenRatio"}</t>
  </si>
  <si>
    <t>{"ratio":0.00064,"method":"burdenRatio"}</t>
  </si>
  <si>
    <t>{"pcode":"11","share":0.270629485034393,"method":"catShare"}</t>
  </si>
  <si>
    <t>{"pcode":"11","share":0.21408812046848855,"method":"catShare"}</t>
  </si>
  <si>
    <t>{"pcode":"11","share":0.05093028443948689,"method":"catShare"}</t>
  </si>
  <si>
    <t>{"pcode":"11","share":0.02101617401003904,"method":"catShare"}</t>
  </si>
  <si>
    <t>{"pcode":"11","share":0.01009221044803867,"method":"catShare"}</t>
  </si>
  <si>
    <t>{"pcode":"11","share":0.002049079754601227,"method":"catShare"}</t>
  </si>
  <si>
    <t>{"pcode":"11","share":0.009454545454545455,"method":"catShare"}</t>
  </si>
  <si>
    <t>{"pcode":"11","share":0.05207138873396542,"method":"catShare"}</t>
  </si>
  <si>
    <t>{"pcode":"11","share":0.15640007436326456,"method":"catShare"}</t>
  </si>
  <si>
    <t>{"pcode":"11","share":0.07892619445993679,"method":"catShare"}</t>
  </si>
  <si>
    <t>{"pcode":"11","share":0.12077746793084217,"method":"catShare"}</t>
  </si>
  <si>
    <t>{"pcode":"11","share":0.013564974902398214,"method":"catShare"}</t>
  </si>
  <si>
    <t>{"pcode":"12","share":0.005687487082814701,"method":"catShare"}</t>
  </si>
  <si>
    <t>{"pcode":"12","share":0.24292000320834237,"method":"catShare"}</t>
  </si>
  <si>
    <t>{"pcode":"12","share":0.018861477696291352,"method":"catShare"}</t>
  </si>
  <si>
    <t>{"pcode":"12","share":0.13375366084171456,"method":"catShare"}</t>
  </si>
  <si>
    <t>{"pcode":"12","share":0.20769719953300794,"method":"catShare"}</t>
  </si>
  <si>
    <t>{"pcode":"12","share":0.007218717282652841,"method":"catShare"}</t>
  </si>
  <si>
    <t>{"pcode":"12","share":0.03906024214497209,"method":"catShare"}</t>
  </si>
  <si>
    <t>{"pcode":"12","share":0.019422566274974462,"method":"catShare"}</t>
  </si>
  <si>
    <t>{"pcode":"12","share":0.12965485493072568,"method":"catShare"}</t>
  </si>
  <si>
    <t>{"pcode":"12","share":0.195723791004504,"method":"catShare"}</t>
  </si>
  <si>
    <t>{"pcode":"13","share":0.017083770217512548,"method":"catShare"}</t>
  </si>
  <si>
    <t>{"pcode":"13","share":0.005203904071388734,"method":"catShare"}</t>
  </si>
  <si>
    <t>{"pcode":"13","share":0.0035605688789737866,"method":"catShare"}</t>
  </si>
  <si>
    <t>{"pcode":"13","share":0.014162297824874513,"method":"catShare"}</t>
  </si>
  <si>
    <t>{"pcode":"13","share":0.0025141662018962636,"method":"catShare"}</t>
  </si>
  <si>
    <t>{"pcode":"13","share":0.00920702732849972,"method":"catShare"}</t>
  </si>
  <si>
    <t>{"pcode":"13","share":0.013398326826547687,"method":"catShare"}</t>
  </si>
  <si>
    <t>{"pcode":"13","share":0.02150022308979364,"method":"catShare"}</t>
  </si>
  <si>
    <t>{"pcode":"13","share":0.006481706636921361,"method":"catShare"}</t>
  </si>
  <si>
    <t>{"pcode":"13","share":0.021470775237032905,"method":"catShare"}</t>
  </si>
  <si>
    <t>{"pcode":"13","share":0.02389676519799219,"method":"catShare"}</t>
  </si>
  <si>
    <t>{"pcode":"13","share":0.027411154489682097,"method":"catShare"}</t>
  </si>
  <si>
    <t>{"pcode":"13","share":0.008313608477412159,"method":"catShare"}</t>
  </si>
  <si>
    <t>{"pcode":"13","share":0.0022824316787506973,"method":"catShare"}</t>
  </si>
  <si>
    <t>{"pcode":"13","share":0.01817936419408812,"method":"catShare"}</t>
  </si>
  <si>
    <t>{"pcode":"13","share":0.00395521472392638,"method":"catShare"}</t>
  </si>
  <si>
    <t>{"pcode":"13","share":0.0003423870607919688,"method":"catShare"}</t>
  </si>
  <si>
    <t>{"pcode":"13","share":0.005797322922476297,"method":"catShare"}</t>
  </si>
  <si>
    <t>{"pcode":"13","share":0.003192303402119353,"method":"catShare"}</t>
  </si>
  <si>
    <t>{"pcode":"13","share":0.00845633017289459,"method":"catShare"}</t>
  </si>
  <si>
    <t>{"pcode":"13","share":0.009780089235917456,"method":"catShare"}</t>
  </si>
  <si>
    <t>{"pcode":"13","share":0.0008216397099832682,"method":"catShare"}</t>
  </si>
  <si>
    <t>{"pcode":"13","share":0.04352543223647518,"method":"catShare"}</t>
  </si>
  <si>
    <t>{"pcode":"13","share":0.011366369213608478,"method":"catShare"}</t>
  </si>
  <si>
    <t>{"pcode":"13","share":0.03754556609035137,"method":"catShare"}</t>
  </si>
  <si>
    <t>{"pcode":"13","share":0.02979313998884551,"method":"catShare"}</t>
  </si>
  <si>
    <t>{"pcode":"13","share":0.011285443390964864,"method":"catShare"}</t>
  </si>
  <si>
    <t>{"pcode":"13","share":0.025993139988845507,"method":"catShare"}</t>
  </si>
  <si>
    <t>{"pcode":"13","share":0.037899330730619074,"method":"catShare"}</t>
  </si>
  <si>
    <t>{"pcode":"13","share":0.0022595649749023983,"method":"catShare"}</t>
  </si>
  <si>
    <t>{"pcode":"13","share":0.13096575571667596,"method":"catShare"}</t>
  </si>
  <si>
    <t>{"pcode":"13","share":0.2924272727272727,"method":"catShare"}</t>
  </si>
  <si>
    <t>{"pcode":"13","share":0.04334857780256553,"method":"catShare"}</t>
  </si>
  <si>
    <t>{"pcode":"13","share":0.03279815950920245,"method":"catShare"}</t>
  </si>
  <si>
    <t>{"pcode":"13","share":0.0054439486893474625,"method":"catShare"}</t>
  </si>
  <si>
    <t>{"pcode":"13","share":0.025106469604015618,"method":"catShare"}</t>
  </si>
  <si>
    <t>{"pcode":"13","share":0.005024205242610151,"method":"catShare"}</t>
  </si>
  <si>
    <t>{"pcode":"13","share":0.007633407696597881,"method":"catShare"}</t>
  </si>
  <si>
    <t>{"pcode":"13","share":0.02701226993865031,"method":"catShare"}</t>
  </si>
  <si>
    <t>{"pcode":"14","share":0.17401139351446102,"method":"catShare"}</t>
  </si>
  <si>
    <t>{"pcode":"14","share":0.003461524978089395,"method":"catShare"}</t>
  </si>
  <si>
    <t>{"pcode":"14","share":0.5507479404031551,"method":"catShare"}</t>
  </si>
  <si>
    <t>{"pcode":"14","share":0.006257493426818581,"method":"catShare"}</t>
  </si>
  <si>
    <t>{"pcode":"14","share":0.006390709903593339,"method":"catShare"}</t>
  </si>
  <si>
    <t>{"pcode":"14","share":0.004792988606485539,"method":"catShare"}</t>
  </si>
  <si>
    <t>{"pcode":"14","share":0.01183225241016652,"method":"catShare"}</t>
  </si>
  <si>
    <t>{"pcode":"14","share":0.008387730061349692,"method":"catShare"}</t>
  </si>
  <si>
    <t>{"pcode":"14","share":0.20030622261174408,"method":"catShare"}</t>
  </si>
  <si>
    <t>{"pcode":"14","share":0.02647256792287467,"method":"catShare"}</t>
  </si>
  <si>
    <t>{"pcode":"14","share":0.004676424189307625,"method":"catShare"}</t>
  </si>
  <si>
    <t>{"pcode":"14","share":0.002662751971954426,"method":"catShare"}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</si>
</sst>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(&quot;$&quot;#,##0)"/>
    <numFmt numFmtId="165" formatCode="_(* #,##0_);_(* (#,##0);_(* &quot;-&quot;??_);_(@_)"/>
  </numFmts>
  <fonts count="14" x14ac:knownFonts="1">
    <font>
      <color theme="1"/>
      <family val="2"/>
      <scheme val="minor"/>
      <sz val="11"/>
      <name val="Calibri"/>
    </font>
    <font>
      <b/>
      <sz val="12"/>
    </font>
    <font>
      <color rgb="FF808080"/>
      <sz val="10"/>
    </font>
    <font>
      <b/>
      <color rgb="FF505050"/>
      <sz val="10"/>
    </font>
    <font>
      <b/>
      <color rgb="FF505050"/>
      <sz val="8"/>
    </font>
    <font>
      <b/>
      <sz val="11"/>
    </font>
    <font>
      <b/>
      <sz val="9"/>
    </font>
    <font>
      <b/>
      <sz val="8"/>
    </font>
    <font>
      <color rgb="FF808080"/>
      <sz val="8"/>
    </font>
    <font>
      <sz val="8"/>
    </font>
    <font>
      <i/>
      <color rgb="FF808080"/>
      <sz val="7.5"/>
    </font>
    <font>
      <b/>
      <sz val="10"/>
    </font>
    <font>
      <b/>
      <sz val="8.5"/>
    </font>
    <font>
      <sz val="8.5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1D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3EBF7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164" fontId="5" fillId="0" borderId="0" xfId="0" applyNumberFormat="1" applyFont="1"/>
    <xf numFmtId="10" fontId="5" fillId="0" borderId="0" xfId="0" applyNumberFormat="1" applyFont="1"/>
    <xf numFmtId="164" fontId="7" fillId="0" borderId="0" xfId="0" applyNumberFormat="1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9" fillId="3" borderId="0" xfId="0" applyNumberFormat="1" applyFont="1" applyFill="1"/>
    <xf numFmtId="164" fontId="9" fillId="0" borderId="0" xfId="0" applyNumberFormat="1" applyFont="1"/>
    <xf numFmtId="165" fontId="7" fillId="4" borderId="0" xfId="0" applyNumberFormat="1" applyFont="1" applyFill="1"/>
    <xf numFmtId="165" fontId="9" fillId="5" borderId="0" xfId="0" applyNumberFormat="1" applyFont="1" applyFill="1"/>
    <xf numFmtId="4" fontId="9" fillId="0" borderId="0" xfId="0" applyNumberFormat="1" applyFont="1"/>
    <xf numFmtId="165" fontId="7" fillId="0" borderId="2" xfId="0" applyNumberFormat="1" applyFont="1" applyBorder="1"/>
    <xf numFmtId="4" fontId="7" fillId="0" borderId="0" xfId="0" applyNumberFormat="1" applyFont="1"/>
    <xf numFmtId="165" fontId="7" fillId="6" borderId="3" xfId="0" applyNumberFormat="1" applyFont="1" applyFill="1" applyBorder="1"/>
    <xf numFmtId="0" fontId="11" fillId="0" borderId="0" xfId="0" applyFont="1"/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right"/>
    </xf>
    <xf numFmtId="0" fontId="13" fillId="0" borderId="0" xfId="0" applyFont="1"/>
    <xf numFmtId="165" fontId="13" fillId="0" borderId="0" xfId="0" applyNumberFormat="1" applyFont="1"/>
    <xf numFmtId="4" fontId="13" fillId="0" borderId="0" xfId="0" applyNumberFormat="1" applyFont="1"/>
    <xf numFmtId="0" fontId="8" fillId="0" borderId="2" xfId="0" applyFont="1" applyBorder="1"/>
    <xf numFmtId="0" fontId="12" fillId="0" borderId="2" xfId="0" applyFont="1" applyBorder="1"/>
    <xf numFmtId="0" fontId="0" fillId="0" borderId="2" xfId="0" applyBorder="1"/>
    <xf numFmtId="165" fontId="12" fillId="0" borderId="2" xfId="0" applyNumberFormat="1" applyFont="1" applyBorder="1"/>
    <xf numFmtId="4" fontId="12" fillId="0" borderId="2" xfId="0" applyNumberFormat="1" applyFont="1" applyBorder="1"/>
    <xf numFmtId="165" fontId="12" fillId="0" borderId="0" xfId="0" applyNumberFormat="1" applyFont="1"/>
    <xf numFmtId="164" fontId="0" fillId="0" borderId="0" xfId="0" applyNumberFormat="1"/>
    <xf numFmtId="0" fontId="12" fillId="0" borderId="0" xfId="0" applyFont="1"/>
    <xf numFmtId="10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391"/>
  <sheetViews>
    <sheetView workbookViewId="0">
      <pane xSplit="4" ySplit="6" topLeftCell="E7" activePane="bottomRight" state="frozen"/>
      <selection pane="bottomRight"/>
    </sheetView>
  </sheetViews>
  <sheetFormatPr defaultRowHeight="12" outlineLevelRow="0" outlineLevelCol="0" x14ac:dyDescent="55" customHeight="1"/>
  <cols>
    <col min="1" max="1" width="8" customWidth="1"/>
    <col min="2" max="2" width="40" customWidth="1"/>
    <col min="3" max="3" width="16" customWidth="1"/>
    <col min="4" max="4" width="20" customWidth="1"/>
    <col min="5" max="16" width="10.5" customWidth="1"/>
    <col min="17" max="17" width="1.5" customWidth="1"/>
    <col min="18" max="18" width="13" customWidth="1"/>
    <col min="19" max="19" width="1.5" customWidth="1"/>
    <col min="20" max="21" width="13" customWidth="1"/>
    <col min="22" max="23" width="1.5" customWidth="1"/>
    <col min="24" max="25" width="9.5" customWidth="1"/>
    <col min="26" max="26" width="26" customWidth="1"/>
  </cols>
  <sheetData>
    <row r="1" spans="2:5" x14ac:dyDescent="0.25">
      <c r="B1" s="1" t="s">
        <v>0</v>
      </c>
      <c r="C1" s="2" t="s">
        <v>1</v>
      </c>
      <c r="E1" s="3" t="s">
        <v>2</v>
      </c>
    </row>
    <row r="3" spans="2:17" x14ac:dyDescent="0.25">
      <c r="B3" s="4" t="s">
        <v>3</v>
      </c>
      <c r="C3" s="5">
        <v>163</v>
      </c>
      <c r="D3" s="6" t="s">
        <v>4</v>
      </c>
      <c r="E3" s="7">
        <f>R95</f>
      </c>
      <c r="F3" s="6" t="s">
        <v>5</v>
      </c>
      <c r="G3" s="7">
        <f>R318</f>
      </c>
      <c r="H3" s="6" t="s">
        <v>6</v>
      </c>
      <c r="I3" s="7">
        <f>R319</f>
      </c>
      <c r="J3" s="6" t="s">
        <v>7</v>
      </c>
      <c r="K3" s="7">
        <f>R324</f>
      </c>
      <c r="L3" s="6" t="s">
        <v>8</v>
      </c>
      <c r="M3" s="7">
        <f>ABS(R388+R389+R390)</f>
      </c>
      <c r="N3" s="6" t="s">
        <v>9</v>
      </c>
      <c r="O3" s="7">
        <f>I3-K3-M3</f>
      </c>
      <c r="P3" s="6" t="s">
        <v>10</v>
      </c>
      <c r="Q3" s="8">
        <f>IF($C$4&gt;0,O3/$C$4,"")</f>
      </c>
    </row>
    <row r="4" spans="2:3" x14ac:dyDescent="0.25">
      <c r="B4" s="4" t="s">
        <v>11</v>
      </c>
      <c r="C4" s="9">
        <v>0</v>
      </c>
    </row>
    <row r="6" spans="1:26" x14ac:dyDescent="0.25">
      <c r="A6" s="10" t="s">
        <v>12</v>
      </c>
      <c r="B6" s="10" t="s">
        <v>13</v>
      </c>
      <c r="C6" s="10" t="s">
        <v>14</v>
      </c>
      <c r="D6" s="10" t="s">
        <v>15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1" t="s">
        <v>25</v>
      </c>
      <c r="O6" s="11" t="s">
        <v>26</v>
      </c>
      <c r="P6" s="11" t="s">
        <v>27</v>
      </c>
      <c r="R6" s="12" t="s">
        <v>28</v>
      </c>
      <c r="T6" s="12" t="s">
        <v>29</v>
      </c>
      <c r="U6" s="12" t="s">
        <v>30</v>
      </c>
      <c r="X6" s="12" t="s">
        <v>31</v>
      </c>
      <c r="Y6" s="12" t="s">
        <v>32</v>
      </c>
      <c r="Z6" s="12" t="s">
        <v>33</v>
      </c>
    </row>
    <row r="7" spans="1:2" s="13" customFormat="1" x14ac:dyDescent="0.25">
      <c r="A7" s="14" t="s">
        <v>34</v>
      </c>
      <c r="B7" s="13" t="s">
        <v>35</v>
      </c>
    </row>
    <row r="8" spans="1:2" s="13" customFormat="1" x14ac:dyDescent="0.25">
      <c r="A8" s="14" t="s">
        <v>36</v>
      </c>
      <c r="B8" s="13" t="s">
        <v>37</v>
      </c>
    </row>
    <row r="9" spans="1:2" s="13" customFormat="1" x14ac:dyDescent="0.25">
      <c r="A9" s="14" t="s">
        <v>38</v>
      </c>
      <c r="B9" s="13" t="s">
        <v>39</v>
      </c>
    </row>
    <row r="10" spans="1:25" s="15" customFormat="1" x14ac:dyDescent="0.25">
      <c r="A10" s="14" t="s">
        <v>40</v>
      </c>
      <c r="B10" s="15" t="s">
        <v>41</v>
      </c>
      <c r="D10" s="16" t="s">
        <v>42</v>
      </c>
      <c r="E10" s="17">
        <v>276505</v>
      </c>
      <c r="F10" s="17">
        <v>276505</v>
      </c>
      <c r="G10" s="17">
        <v>276505</v>
      </c>
      <c r="H10" s="17">
        <v>276505</v>
      </c>
      <c r="I10" s="17">
        <v>276505</v>
      </c>
      <c r="J10" s="17">
        <v>276505</v>
      </c>
      <c r="K10" s="17">
        <v>276505</v>
      </c>
      <c r="L10" s="17">
        <v>276505</v>
      </c>
      <c r="M10" s="17">
        <v>276505</v>
      </c>
      <c r="N10" s="17">
        <v>276505</v>
      </c>
      <c r="O10" s="17">
        <v>276505</v>
      </c>
      <c r="P10" s="17">
        <v>276505</v>
      </c>
      <c r="R10" s="18">
        <f>SUM(E10:P10)</f>
      </c>
      <c r="T10" s="19">
        <v>3219092.9289756655</v>
      </c>
      <c r="U10" s="20">
        <v>2810093.87</v>
      </c>
      <c r="X10" s="21">
        <f>R10/$C$3</f>
      </c>
      <c r="Y10" s="21">
        <f>R10/$C$3/12</f>
      </c>
    </row>
    <row r="11" spans="1:25" s="15" customFormat="1" x14ac:dyDescent="0.25">
      <c r="A11" s="14" t="s">
        <v>43</v>
      </c>
      <c r="B11" s="15" t="s">
        <v>44</v>
      </c>
      <c r="D11" s="16" t="s">
        <v>45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R11" s="18">
        <f>SUM(E11:P11)</f>
      </c>
      <c r="X11" s="21">
        <f>R11/$C$3</f>
      </c>
      <c r="Y11" s="21">
        <f>R11/$C$3/12</f>
      </c>
    </row>
    <row r="12" spans="1:25" s="15" customFormat="1" x14ac:dyDescent="0.25">
      <c r="A12" s="14" t="s">
        <v>46</v>
      </c>
      <c r="B12" s="15" t="s">
        <v>47</v>
      </c>
      <c r="D12" s="16" t="s">
        <v>45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R12" s="18">
        <f>SUM(E12:P12)</f>
      </c>
      <c r="U12" s="20">
        <v>26592.81</v>
      </c>
      <c r="X12" s="21">
        <f>R12/$C$3</f>
      </c>
      <c r="Y12" s="21">
        <f>R12/$C$3/12</f>
      </c>
    </row>
    <row r="13" spans="1:25" s="15" customFormat="1" x14ac:dyDescent="0.25">
      <c r="A13" s="14" t="s">
        <v>48</v>
      </c>
      <c r="B13" s="15" t="s">
        <v>49</v>
      </c>
      <c r="D13" s="16" t="s">
        <v>50</v>
      </c>
      <c r="E13" s="17">
        <v>-24280.78</v>
      </c>
      <c r="F13" s="17">
        <v>-22502.47</v>
      </c>
      <c r="G13" s="17">
        <v>-20724.17</v>
      </c>
      <c r="H13" s="17">
        <v>-18945.87</v>
      </c>
      <c r="I13" s="17">
        <v>-17167.56</v>
      </c>
      <c r="J13" s="17">
        <v>-15389.26</v>
      </c>
      <c r="K13" s="17">
        <v>-13610.95</v>
      </c>
      <c r="L13" s="17">
        <v>-11832.64</v>
      </c>
      <c r="M13" s="17">
        <v>-10054.34</v>
      </c>
      <c r="N13" s="17">
        <v>-8276.03</v>
      </c>
      <c r="O13" s="17">
        <v>-6497.72</v>
      </c>
      <c r="P13" s="17">
        <v>-4719.41</v>
      </c>
      <c r="R13" s="18">
        <f>SUM(E13:P13)</f>
      </c>
      <c r="T13" s="19">
        <v>-80477.32322439164</v>
      </c>
      <c r="U13" s="20">
        <v>-376509.1</v>
      </c>
      <c r="X13" s="21">
        <f>R13/$C$3</f>
      </c>
      <c r="Y13" s="21">
        <f>R13/$C$3/12</f>
      </c>
    </row>
    <row r="14" spans="1:25" s="13" customFormat="1" x14ac:dyDescent="0.25">
      <c r="A14" s="14" t="s">
        <v>51</v>
      </c>
      <c r="B14" s="13" t="s">
        <v>52</v>
      </c>
      <c r="E14" s="22">
        <f>SUM(E10:E13)</f>
      </c>
      <c r="F14" s="22">
        <f>SUM(F10:F13)</f>
      </c>
      <c r="G14" s="22">
        <f>SUM(G10:G13)</f>
      </c>
      <c r="H14" s="22">
        <f>SUM(H10:H13)</f>
      </c>
      <c r="I14" s="22">
        <f>SUM(I10:I13)</f>
      </c>
      <c r="J14" s="22">
        <f>SUM(J10:J13)</f>
      </c>
      <c r="K14" s="22">
        <f>SUM(K10:K13)</f>
      </c>
      <c r="L14" s="22">
        <f>SUM(L10:L13)</f>
      </c>
      <c r="M14" s="22">
        <f>SUM(M10:M13)</f>
      </c>
      <c r="N14" s="22">
        <f>SUM(N10:N13)</f>
      </c>
      <c r="O14" s="22">
        <f>SUM(O10:O13)</f>
      </c>
      <c r="P14" s="22">
        <f>SUM(P10:P13)</f>
      </c>
      <c r="R14" s="22">
        <f>SUM(E14:P14)</f>
      </c>
      <c r="X14" s="23">
        <f>R14/$C$3</f>
      </c>
      <c r="Y14" s="23">
        <f>R14/$C$3/12</f>
      </c>
    </row>
    <row r="15" spans="1:2" s="13" customFormat="1" x14ac:dyDescent="0.25">
      <c r="A15" s="14" t="s">
        <v>53</v>
      </c>
      <c r="B15" s="13" t="s">
        <v>54</v>
      </c>
    </row>
    <row r="16" spans="1:25" s="15" customFormat="1" x14ac:dyDescent="0.25">
      <c r="A16" s="14" t="s">
        <v>55</v>
      </c>
      <c r="B16" s="15" t="s">
        <v>56</v>
      </c>
      <c r="D16" s="16" t="s">
        <v>45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R16" s="18">
        <f>SUM(E16:P16)</f>
      </c>
      <c r="X16" s="21">
        <f>R16/$C$3</f>
      </c>
      <c r="Y16" s="21">
        <f>R16/$C$3/12</f>
      </c>
    </row>
    <row r="17" spans="1:25" s="15" customFormat="1" x14ac:dyDescent="0.25">
      <c r="A17" s="14" t="s">
        <v>57</v>
      </c>
      <c r="B17" s="15" t="s">
        <v>58</v>
      </c>
      <c r="D17" s="16" t="s">
        <v>59</v>
      </c>
      <c r="E17" s="17">
        <v>-752.23</v>
      </c>
      <c r="F17" s="17">
        <v>-752.23</v>
      </c>
      <c r="G17" s="17">
        <v>-752.24</v>
      </c>
      <c r="H17" s="17">
        <v>-752.24</v>
      </c>
      <c r="I17" s="17">
        <v>-752.24</v>
      </c>
      <c r="J17" s="17">
        <v>-752.24</v>
      </c>
      <c r="K17" s="17">
        <v>-752.24</v>
      </c>
      <c r="L17" s="17">
        <v>-752.24</v>
      </c>
      <c r="M17" s="17">
        <v>-752.24</v>
      </c>
      <c r="N17" s="17">
        <v>-752.24</v>
      </c>
      <c r="O17" s="17">
        <v>-752.24</v>
      </c>
      <c r="P17" s="17">
        <v>-752.24</v>
      </c>
      <c r="R17" s="18">
        <f>SUM(E17:P17)</f>
      </c>
      <c r="U17" s="20">
        <v>-5284.68</v>
      </c>
      <c r="X17" s="21">
        <f>R17/$C$3</f>
      </c>
      <c r="Y17" s="21">
        <f>R17/$C$3/12</f>
      </c>
    </row>
    <row r="18" spans="1:25" s="15" customFormat="1" x14ac:dyDescent="0.25">
      <c r="A18" s="14" t="s">
        <v>60</v>
      </c>
      <c r="B18" s="15" t="s">
        <v>61</v>
      </c>
      <c r="D18" s="16" t="s">
        <v>59</v>
      </c>
      <c r="E18" s="17">
        <v>-192.41</v>
      </c>
      <c r="F18" s="17">
        <v>-192.41</v>
      </c>
      <c r="G18" s="17">
        <v>-192.41</v>
      </c>
      <c r="H18" s="17">
        <v>-192.41</v>
      </c>
      <c r="I18" s="17">
        <v>-192.42</v>
      </c>
      <c r="J18" s="17">
        <v>-192.42</v>
      </c>
      <c r="K18" s="17">
        <v>-192.42</v>
      </c>
      <c r="L18" s="17">
        <v>-192.42</v>
      </c>
      <c r="M18" s="17">
        <v>-192.42</v>
      </c>
      <c r="N18" s="17">
        <v>-192.42</v>
      </c>
      <c r="O18" s="17">
        <v>-192.42</v>
      </c>
      <c r="P18" s="17">
        <v>-192.42</v>
      </c>
      <c r="R18" s="18">
        <f>SUM(E18:P18)</f>
      </c>
      <c r="U18" s="20">
        <v>-1351.78</v>
      </c>
      <c r="X18" s="21">
        <f>R18/$C$3</f>
      </c>
      <c r="Y18" s="21">
        <f>R18/$C$3/12</f>
      </c>
    </row>
    <row r="19" spans="1:25" s="15" customFormat="1" x14ac:dyDescent="0.25">
      <c r="A19" s="14" t="s">
        <v>62</v>
      </c>
      <c r="B19" s="15" t="s">
        <v>63</v>
      </c>
      <c r="D19" s="16" t="s">
        <v>59</v>
      </c>
      <c r="E19" s="17">
        <v>-59.86</v>
      </c>
      <c r="F19" s="17">
        <v>-59.86</v>
      </c>
      <c r="G19" s="17">
        <v>-59.86</v>
      </c>
      <c r="H19" s="17">
        <v>-59.86</v>
      </c>
      <c r="I19" s="17">
        <v>-59.86</v>
      </c>
      <c r="J19" s="17">
        <v>-59.86</v>
      </c>
      <c r="K19" s="17">
        <v>-59.86</v>
      </c>
      <c r="L19" s="17">
        <v>-59.86</v>
      </c>
      <c r="M19" s="17">
        <v>-59.86</v>
      </c>
      <c r="N19" s="17">
        <v>-59.86</v>
      </c>
      <c r="O19" s="17">
        <v>-59.86</v>
      </c>
      <c r="P19" s="17">
        <v>-59.87</v>
      </c>
      <c r="R19" s="18">
        <f>SUM(E19:P19)</f>
      </c>
      <c r="U19" s="20">
        <v>-420.54</v>
      </c>
      <c r="X19" s="21">
        <f>R19/$C$3</f>
      </c>
      <c r="Y19" s="21">
        <f>R19/$C$3/12</f>
      </c>
    </row>
    <row r="20" spans="1:25" s="15" customFormat="1" x14ac:dyDescent="0.25">
      <c r="A20" s="14" t="s">
        <v>64</v>
      </c>
      <c r="B20" s="15" t="s">
        <v>65</v>
      </c>
      <c r="D20" s="16" t="s">
        <v>45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R20" s="18">
        <f>SUM(E20:P20)</f>
      </c>
      <c r="X20" s="21">
        <f>R20/$C$3</f>
      </c>
      <c r="Y20" s="21">
        <f>R20/$C$3/12</f>
      </c>
    </row>
    <row r="21" spans="1:25" s="15" customFormat="1" x14ac:dyDescent="0.25">
      <c r="A21" s="14" t="s">
        <v>66</v>
      </c>
      <c r="B21" s="15" t="s">
        <v>67</v>
      </c>
      <c r="D21" s="16" t="s">
        <v>45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R21" s="18">
        <f>SUM(E21:P21)</f>
      </c>
      <c r="X21" s="21">
        <f>R21/$C$3</f>
      </c>
      <c r="Y21" s="21">
        <f>R21/$C$3/12</f>
      </c>
    </row>
    <row r="22" spans="1:25" s="15" customFormat="1" x14ac:dyDescent="0.25">
      <c r="A22" s="14" t="s">
        <v>68</v>
      </c>
      <c r="B22" s="15" t="s">
        <v>69</v>
      </c>
      <c r="D22" s="16" t="s">
        <v>59</v>
      </c>
      <c r="E22" s="17">
        <v>-182.48</v>
      </c>
      <c r="F22" s="17">
        <v>-182.48</v>
      </c>
      <c r="G22" s="17">
        <v>-182.48</v>
      </c>
      <c r="H22" s="17">
        <v>-182.49</v>
      </c>
      <c r="I22" s="17">
        <v>-182.49</v>
      </c>
      <c r="J22" s="17">
        <v>-182.49</v>
      </c>
      <c r="K22" s="17">
        <v>-182.49</v>
      </c>
      <c r="L22" s="17">
        <v>-182.49</v>
      </c>
      <c r="M22" s="17">
        <v>-182.49</v>
      </c>
      <c r="N22" s="17">
        <v>-182.49</v>
      </c>
      <c r="O22" s="17">
        <v>-182.49</v>
      </c>
      <c r="P22" s="17">
        <v>-182.49</v>
      </c>
      <c r="R22" s="18">
        <f>SUM(E22:P22)</f>
      </c>
      <c r="U22" s="20">
        <v>-1282.02</v>
      </c>
      <c r="X22" s="21">
        <f>R22/$C$3</f>
      </c>
      <c r="Y22" s="21">
        <f>R22/$C$3/12</f>
      </c>
    </row>
    <row r="23" spans="1:25" s="15" customFormat="1" x14ac:dyDescent="0.25">
      <c r="A23" s="14" t="s">
        <v>70</v>
      </c>
      <c r="B23" s="15" t="s">
        <v>71</v>
      </c>
      <c r="D23" s="16" t="s">
        <v>59</v>
      </c>
      <c r="E23" s="17">
        <v>-195.52</v>
      </c>
      <c r="F23" s="17">
        <v>-195.52</v>
      </c>
      <c r="G23" s="17">
        <v>-195.52</v>
      </c>
      <c r="H23" s="17">
        <v>-195.52</v>
      </c>
      <c r="I23" s="17">
        <v>-195.52</v>
      </c>
      <c r="J23" s="17">
        <v>-195.52</v>
      </c>
      <c r="K23" s="17">
        <v>-195.52</v>
      </c>
      <c r="L23" s="17">
        <v>-195.52</v>
      </c>
      <c r="M23" s="17">
        <v>-195.52</v>
      </c>
      <c r="N23" s="17">
        <v>-195.52</v>
      </c>
      <c r="O23" s="17">
        <v>-195.53</v>
      </c>
      <c r="P23" s="17">
        <v>-195.53</v>
      </c>
      <c r="R23" s="18">
        <f>SUM(E23:P23)</f>
      </c>
      <c r="U23" s="20">
        <v>-1373.6</v>
      </c>
      <c r="X23" s="21">
        <f>R23/$C$3</f>
      </c>
      <c r="Y23" s="21">
        <f>R23/$C$3/12</f>
      </c>
    </row>
    <row r="24" spans="1:25" s="15" customFormat="1" x14ac:dyDescent="0.25">
      <c r="A24" s="14" t="s">
        <v>72</v>
      </c>
      <c r="B24" s="15" t="s">
        <v>73</v>
      </c>
      <c r="D24" s="16" t="s">
        <v>45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R24" s="18">
        <f>SUM(E24:P24)</f>
      </c>
      <c r="X24" s="21">
        <f>R24/$C$3</f>
      </c>
      <c r="Y24" s="21">
        <f>R24/$C$3/12</f>
      </c>
    </row>
    <row r="25" spans="1:25" s="15" customFormat="1" x14ac:dyDescent="0.25">
      <c r="A25" s="14" t="s">
        <v>74</v>
      </c>
      <c r="B25" s="15" t="s">
        <v>75</v>
      </c>
      <c r="D25" s="16" t="s">
        <v>45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R25" s="18">
        <f>SUM(E25:P25)</f>
      </c>
      <c r="X25" s="21">
        <f>R25/$C$3</f>
      </c>
      <c r="Y25" s="21">
        <f>R25/$C$3/12</f>
      </c>
    </row>
    <row r="26" spans="1:25" s="13" customFormat="1" x14ac:dyDescent="0.25">
      <c r="A26" s="14" t="s">
        <v>76</v>
      </c>
      <c r="B26" s="13" t="s">
        <v>77</v>
      </c>
      <c r="E26" s="22">
        <f>SUM(E16:E25)</f>
      </c>
      <c r="F26" s="22">
        <f>SUM(F16:F25)</f>
      </c>
      <c r="G26" s="22">
        <f>SUM(G16:G25)</f>
      </c>
      <c r="H26" s="22">
        <f>SUM(H16:H25)</f>
      </c>
      <c r="I26" s="22">
        <f>SUM(I16:I25)</f>
      </c>
      <c r="J26" s="22">
        <f>SUM(J16:J25)</f>
      </c>
      <c r="K26" s="22">
        <f>SUM(K16:K25)</f>
      </c>
      <c r="L26" s="22">
        <f>SUM(L16:L25)</f>
      </c>
      <c r="M26" s="22">
        <f>SUM(M16:M25)</f>
      </c>
      <c r="N26" s="22">
        <f>SUM(N16:N25)</f>
      </c>
      <c r="O26" s="22">
        <f>SUM(O16:O25)</f>
      </c>
      <c r="P26" s="22">
        <f>SUM(P16:P25)</f>
      </c>
      <c r="R26" s="22">
        <f>SUM(E26:P26)</f>
      </c>
      <c r="T26" s="19">
        <v>-16095.464644878328</v>
      </c>
      <c r="X26" s="23">
        <f>R26/$C$3</f>
      </c>
      <c r="Y26" s="23">
        <f>R26/$C$3/12</f>
      </c>
    </row>
    <row r="27" spans="1:2" s="13" customFormat="1" x14ac:dyDescent="0.25">
      <c r="A27" s="14" t="s">
        <v>78</v>
      </c>
      <c r="B27" s="13" t="s">
        <v>79</v>
      </c>
    </row>
    <row r="28" spans="1:25" s="15" customFormat="1" x14ac:dyDescent="0.25">
      <c r="A28" s="14" t="s">
        <v>80</v>
      </c>
      <c r="B28" s="15" t="s">
        <v>81</v>
      </c>
      <c r="D28" s="16" t="s">
        <v>82</v>
      </c>
      <c r="E28" s="17">
        <v>-13825.25</v>
      </c>
      <c r="F28" s="17">
        <v>-13825.25</v>
      </c>
      <c r="G28" s="17">
        <v>-13825.25</v>
      </c>
      <c r="H28" s="17">
        <v>-13825.25</v>
      </c>
      <c r="I28" s="17">
        <v>-13825.25</v>
      </c>
      <c r="J28" s="17">
        <v>-13825.25</v>
      </c>
      <c r="K28" s="17">
        <v>-13825.25</v>
      </c>
      <c r="L28" s="17">
        <v>-13825.25</v>
      </c>
      <c r="M28" s="17">
        <v>-13825.25</v>
      </c>
      <c r="N28" s="17">
        <v>-13825.25</v>
      </c>
      <c r="O28" s="17">
        <v>-13825.25</v>
      </c>
      <c r="P28" s="17">
        <v>-13825.25</v>
      </c>
      <c r="R28" s="18">
        <f>SUM(E28:P28)</f>
      </c>
      <c r="U28" s="20">
        <v>-78107.05</v>
      </c>
      <c r="X28" s="21">
        <f>R28/$C$3</f>
      </c>
      <c r="Y28" s="21">
        <f>R28/$C$3/12</f>
      </c>
    </row>
    <row r="29" spans="1:25" s="15" customFormat="1" x14ac:dyDescent="0.25">
      <c r="A29" s="14" t="s">
        <v>83</v>
      </c>
      <c r="B29" s="15" t="s">
        <v>84</v>
      </c>
      <c r="D29" s="16" t="s">
        <v>45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R29" s="18">
        <f>SUM(E29:P29)</f>
      </c>
      <c r="X29" s="21">
        <f>R29/$C$3</f>
      </c>
      <c r="Y29" s="21">
        <f>R29/$C$3/12</f>
      </c>
    </row>
    <row r="30" spans="1:25" s="15" customFormat="1" x14ac:dyDescent="0.25">
      <c r="A30" s="14" t="s">
        <v>85</v>
      </c>
      <c r="B30" s="15" t="s">
        <v>86</v>
      </c>
      <c r="D30" s="16" t="s">
        <v>45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R30" s="18">
        <f>SUM(E30:P30)</f>
      </c>
      <c r="U30" s="20">
        <v>-3021.91</v>
      </c>
      <c r="X30" s="21">
        <f>R30/$C$3</f>
      </c>
      <c r="Y30" s="21">
        <f>R30/$C$3/12</f>
      </c>
    </row>
    <row r="31" spans="1:25" s="15" customFormat="1" x14ac:dyDescent="0.25">
      <c r="A31" s="14" t="s">
        <v>87</v>
      </c>
      <c r="B31" s="15" t="s">
        <v>88</v>
      </c>
      <c r="D31" s="16" t="s">
        <v>45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R31" s="18">
        <f>SUM(E31:P31)</f>
      </c>
      <c r="X31" s="21">
        <f>R31/$C$3</f>
      </c>
      <c r="Y31" s="21">
        <f>R31/$C$3/12</f>
      </c>
    </row>
    <row r="32" spans="1:25" s="15" customFormat="1" x14ac:dyDescent="0.25">
      <c r="A32" s="14" t="s">
        <v>89</v>
      </c>
      <c r="B32" s="15" t="s">
        <v>90</v>
      </c>
      <c r="D32" s="16" t="s">
        <v>45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R32" s="18">
        <f>SUM(E32:P32)</f>
      </c>
      <c r="U32" s="20">
        <v>-6294.37</v>
      </c>
      <c r="X32" s="21">
        <f>R32/$C$3</f>
      </c>
      <c r="Y32" s="21">
        <f>R32/$C$3/12</f>
      </c>
    </row>
    <row r="33" spans="1:25" s="15" customFormat="1" x14ac:dyDescent="0.25">
      <c r="A33" s="14" t="s">
        <v>91</v>
      </c>
      <c r="B33" s="15" t="s">
        <v>92</v>
      </c>
      <c r="D33" s="16" t="s">
        <v>45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R33" s="18">
        <f>SUM(E33:P33)</f>
      </c>
      <c r="U33" s="20">
        <v>4586.33</v>
      </c>
      <c r="X33" s="21">
        <f>R33/$C$3</f>
      </c>
      <c r="Y33" s="21">
        <f>R33/$C$3/12</f>
      </c>
    </row>
    <row r="34" spans="1:25" s="15" customFormat="1" x14ac:dyDescent="0.25">
      <c r="A34" s="14" t="s">
        <v>93</v>
      </c>
      <c r="B34" s="15" t="s">
        <v>94</v>
      </c>
      <c r="D34" s="16" t="s">
        <v>45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R34" s="18">
        <f>SUM(E34:P34)</f>
      </c>
      <c r="X34" s="21">
        <f>R34/$C$3</f>
      </c>
      <c r="Y34" s="21">
        <f>R34/$C$3/12</f>
      </c>
    </row>
    <row r="35" spans="1:25" s="13" customFormat="1" x14ac:dyDescent="0.25">
      <c r="A35" s="14" t="s">
        <v>95</v>
      </c>
      <c r="B35" s="13" t="s">
        <v>96</v>
      </c>
      <c r="E35" s="22">
        <f>SUM(E28:E34)</f>
      </c>
      <c r="F35" s="22">
        <f>SUM(F28:F34)</f>
      </c>
      <c r="G35" s="22">
        <f>SUM(G28:G34)</f>
      </c>
      <c r="H35" s="22">
        <f>SUM(H28:H34)</f>
      </c>
      <c r="I35" s="22">
        <f>SUM(I28:I34)</f>
      </c>
      <c r="J35" s="22">
        <f>SUM(J28:J34)</f>
      </c>
      <c r="K35" s="22">
        <f>SUM(K28:K34)</f>
      </c>
      <c r="L35" s="22">
        <f>SUM(L28:L34)</f>
      </c>
      <c r="M35" s="22">
        <f>SUM(M28:M34)</f>
      </c>
      <c r="N35" s="22">
        <f>SUM(N28:N34)</f>
      </c>
      <c r="O35" s="22">
        <f>SUM(O28:O34)</f>
      </c>
      <c r="P35" s="22">
        <f>SUM(P28:P34)</f>
      </c>
      <c r="R35" s="22">
        <f>SUM(E35:P35)</f>
      </c>
      <c r="T35" s="19">
        <v>-160954.6464487833</v>
      </c>
      <c r="X35" s="23">
        <f>R35/$C$3</f>
      </c>
      <c r="Y35" s="23">
        <f>R35/$C$3/12</f>
      </c>
    </row>
    <row r="36" spans="1:25" s="13" customFormat="1" x14ac:dyDescent="0.25">
      <c r="A36" s="14" t="s">
        <v>97</v>
      </c>
      <c r="B36" s="13" t="s">
        <v>98</v>
      </c>
      <c r="E36" s="22">
        <f>E14+E26+E35</f>
      </c>
      <c r="F36" s="22">
        <f>F14+F26+F35</f>
      </c>
      <c r="G36" s="22">
        <f>G14+G26+G35</f>
      </c>
      <c r="H36" s="22">
        <f>H14+H26+H35</f>
      </c>
      <c r="I36" s="22">
        <f>I14+I26+I35</f>
      </c>
      <c r="J36" s="22">
        <f>J14+J26+J35</f>
      </c>
      <c r="K36" s="22">
        <f>K14+K26+K35</f>
      </c>
      <c r="L36" s="22">
        <f>L14+L26+L35</f>
      </c>
      <c r="M36" s="22">
        <f>M14+M26+M35</f>
      </c>
      <c r="N36" s="22">
        <f>N14+N26+N35</f>
      </c>
      <c r="O36" s="22">
        <f>O14+O26+O35</f>
      </c>
      <c r="P36" s="22">
        <f>P14+P26+P35</f>
      </c>
      <c r="R36" s="22">
        <f>SUM(E36:P36)</f>
      </c>
      <c r="X36" s="23">
        <f>R36/$C$3</f>
      </c>
      <c r="Y36" s="23">
        <f>R36/$C$3/12</f>
      </c>
    </row>
    <row r="37" spans="1:2" s="13" customFormat="1" x14ac:dyDescent="0.25">
      <c r="A37" s="14" t="s">
        <v>99</v>
      </c>
      <c r="B37" s="13" t="s">
        <v>100</v>
      </c>
    </row>
    <row r="38" spans="1:25" s="15" customFormat="1" x14ac:dyDescent="0.25">
      <c r="A38" s="14" t="s">
        <v>101</v>
      </c>
      <c r="B38" s="15" t="s">
        <v>102</v>
      </c>
      <c r="D38" s="16" t="s">
        <v>45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R38" s="18">
        <f>SUM(E38:P38)</f>
      </c>
      <c r="X38" s="21">
        <f>R38/$C$3</f>
      </c>
      <c r="Y38" s="21">
        <f>R38/$C$3/12</f>
      </c>
    </row>
    <row r="39" spans="1:25" s="15" customFormat="1" x14ac:dyDescent="0.25">
      <c r="A39" s="14" t="s">
        <v>103</v>
      </c>
      <c r="B39" s="15" t="s">
        <v>104</v>
      </c>
      <c r="D39" s="16" t="s">
        <v>45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R39" s="18">
        <f>SUM(E39:P39)</f>
      </c>
      <c r="X39" s="21">
        <f>R39/$C$3</f>
      </c>
      <c r="Y39" s="21">
        <f>R39/$C$3/12</f>
      </c>
    </row>
    <row r="40" spans="1:25" s="15" customFormat="1" x14ac:dyDescent="0.25">
      <c r="A40" s="14" t="s">
        <v>105</v>
      </c>
      <c r="B40" s="15" t="s">
        <v>106</v>
      </c>
      <c r="D40" s="16" t="s">
        <v>107</v>
      </c>
      <c r="E40" s="17">
        <v>277.81</v>
      </c>
      <c r="F40" s="17">
        <v>185.2</v>
      </c>
      <c r="G40" s="17">
        <v>155.96</v>
      </c>
      <c r="H40" s="17">
        <v>139.39</v>
      </c>
      <c r="I40" s="17">
        <v>185.2</v>
      </c>
      <c r="J40" s="17">
        <v>185.2</v>
      </c>
      <c r="K40" s="17">
        <v>321.67</v>
      </c>
      <c r="L40" s="17">
        <v>394.77</v>
      </c>
      <c r="M40" s="17">
        <v>385.03</v>
      </c>
      <c r="N40" s="17">
        <v>350.91</v>
      </c>
      <c r="O40" s="17">
        <v>341.16</v>
      </c>
      <c r="P40" s="17">
        <v>350.91</v>
      </c>
      <c r="R40" s="18">
        <f>SUM(E40:P40)</f>
      </c>
      <c r="U40" s="20">
        <v>7687.56</v>
      </c>
      <c r="X40" s="21">
        <f>R40/$C$3</f>
      </c>
      <c r="Y40" s="21">
        <f>R40/$C$3/12</f>
      </c>
    </row>
    <row r="41" spans="1:25" s="15" customFormat="1" x14ac:dyDescent="0.25">
      <c r="A41" s="14" t="s">
        <v>108</v>
      </c>
      <c r="B41" s="15" t="s">
        <v>109</v>
      </c>
      <c r="D41" s="16" t="s">
        <v>107</v>
      </c>
      <c r="E41" s="17">
        <v>174.48</v>
      </c>
      <c r="F41" s="17">
        <v>174.48</v>
      </c>
      <c r="G41" s="17">
        <v>174.48</v>
      </c>
      <c r="H41" s="17">
        <v>174.48</v>
      </c>
      <c r="I41" s="17">
        <v>203.73</v>
      </c>
      <c r="J41" s="17">
        <v>203.72</v>
      </c>
      <c r="K41" s="17">
        <v>252.46</v>
      </c>
      <c r="L41" s="17">
        <v>164.73</v>
      </c>
      <c r="M41" s="17">
        <v>164.73</v>
      </c>
      <c r="N41" s="17">
        <v>159.86</v>
      </c>
      <c r="O41" s="17">
        <v>159.86</v>
      </c>
      <c r="P41" s="17">
        <v>159.86</v>
      </c>
      <c r="R41" s="18">
        <f>SUM(E41:P41)</f>
      </c>
      <c r="U41" s="20">
        <v>5089.17</v>
      </c>
      <c r="X41" s="21">
        <f>R41/$C$3</f>
      </c>
      <c r="Y41" s="21">
        <f>R41/$C$3/12</f>
      </c>
    </row>
    <row r="42" spans="1:25" s="15" customFormat="1" x14ac:dyDescent="0.25">
      <c r="A42" s="14" t="s">
        <v>110</v>
      </c>
      <c r="B42" s="15" t="s">
        <v>111</v>
      </c>
      <c r="D42" s="16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R42" s="18">
        <f>SUM(E42:P42)</f>
      </c>
      <c r="X42" s="21">
        <f>R42/$C$3</f>
      </c>
      <c r="Y42" s="21">
        <f>R42/$C$3/12</f>
      </c>
    </row>
    <row r="43" spans="1:25" s="15" customFormat="1" x14ac:dyDescent="0.25">
      <c r="A43" s="14" t="s">
        <v>112</v>
      </c>
      <c r="B43" s="15" t="s">
        <v>113</v>
      </c>
      <c r="D43" s="16" t="s">
        <v>107</v>
      </c>
      <c r="E43" s="17">
        <v>108.2</v>
      </c>
      <c r="F43" s="17">
        <v>107.22</v>
      </c>
      <c r="G43" s="17">
        <v>110.15</v>
      </c>
      <c r="H43" s="17">
        <v>112.1</v>
      </c>
      <c r="I43" s="17">
        <v>113.07</v>
      </c>
      <c r="J43" s="17">
        <v>114.04</v>
      </c>
      <c r="K43" s="17">
        <v>112.09</v>
      </c>
      <c r="L43" s="17">
        <v>110.15</v>
      </c>
      <c r="M43" s="17">
        <v>110.15</v>
      </c>
      <c r="N43" s="17">
        <v>107.22</v>
      </c>
      <c r="O43" s="17">
        <v>107.22</v>
      </c>
      <c r="P43" s="17">
        <v>108.2</v>
      </c>
      <c r="R43" s="18">
        <f>SUM(E43:P43)</f>
      </c>
      <c r="U43" s="20">
        <v>3099.75</v>
      </c>
      <c r="X43" s="21">
        <f>R43/$C$3</f>
      </c>
      <c r="Y43" s="21">
        <f>R43/$C$3/12</f>
      </c>
    </row>
    <row r="44" spans="1:25" s="15" customFormat="1" x14ac:dyDescent="0.25">
      <c r="A44" s="14" t="s">
        <v>114</v>
      </c>
      <c r="B44" s="15" t="s">
        <v>115</v>
      </c>
      <c r="D44" s="16" t="s">
        <v>45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R44" s="18">
        <f>SUM(E44:P44)</f>
      </c>
      <c r="X44" s="21">
        <f>R44/$C$3</f>
      </c>
      <c r="Y44" s="21">
        <f>R44/$C$3/12</f>
      </c>
    </row>
    <row r="45" spans="1:25" s="15" customFormat="1" x14ac:dyDescent="0.25">
      <c r="A45" s="14" t="s">
        <v>116</v>
      </c>
      <c r="B45" s="15" t="s">
        <v>117</v>
      </c>
      <c r="D45" s="16" t="s">
        <v>107</v>
      </c>
      <c r="E45" s="17">
        <v>563.41</v>
      </c>
      <c r="F45" s="17">
        <v>582.9</v>
      </c>
      <c r="G45" s="17">
        <v>592.65</v>
      </c>
      <c r="H45" s="17">
        <v>583.88</v>
      </c>
      <c r="I45" s="17">
        <v>586.8</v>
      </c>
      <c r="J45" s="17">
        <v>558.53</v>
      </c>
      <c r="K45" s="17">
        <v>558.53</v>
      </c>
      <c r="L45" s="17">
        <v>582.9</v>
      </c>
      <c r="M45" s="17">
        <v>592.65</v>
      </c>
      <c r="N45" s="17">
        <v>573.15</v>
      </c>
      <c r="O45" s="17">
        <v>568.28</v>
      </c>
      <c r="P45" s="17">
        <v>563.41</v>
      </c>
      <c r="R45" s="18">
        <f>SUM(E45:P45)</f>
      </c>
      <c r="U45" s="20">
        <v>16222.16</v>
      </c>
      <c r="X45" s="21">
        <f>R45/$C$3</f>
      </c>
      <c r="Y45" s="21">
        <f>R45/$C$3/12</f>
      </c>
    </row>
    <row r="46" spans="1:25" s="15" customFormat="1" x14ac:dyDescent="0.25">
      <c r="A46" s="14" t="s">
        <v>118</v>
      </c>
      <c r="B46" s="15" t="s">
        <v>119</v>
      </c>
      <c r="D46" s="16" t="s">
        <v>107</v>
      </c>
      <c r="E46" s="17">
        <v>8821.27</v>
      </c>
      <c r="F46" s="17">
        <v>8821.27</v>
      </c>
      <c r="G46" s="17">
        <v>8821.27</v>
      </c>
      <c r="H46" s="17">
        <v>8821.27</v>
      </c>
      <c r="I46" s="17">
        <v>8572.66</v>
      </c>
      <c r="J46" s="17">
        <v>8572.66</v>
      </c>
      <c r="K46" s="17">
        <v>8572.66</v>
      </c>
      <c r="L46" s="17">
        <v>8572.66</v>
      </c>
      <c r="M46" s="17">
        <v>8572.66</v>
      </c>
      <c r="N46" s="17">
        <v>8572.66</v>
      </c>
      <c r="O46" s="17">
        <v>8572.66</v>
      </c>
      <c r="P46" s="17">
        <v>8821.26</v>
      </c>
      <c r="R46" s="18">
        <f>SUM(E46:P46)</f>
      </c>
      <c r="U46" s="20">
        <v>244527.08</v>
      </c>
      <c r="X46" s="21">
        <f>R46/$C$3</f>
      </c>
      <c r="Y46" s="21">
        <f>R46/$C$3/12</f>
      </c>
    </row>
    <row r="47" spans="1:25" s="15" customFormat="1" x14ac:dyDescent="0.25">
      <c r="A47" s="14" t="s">
        <v>120</v>
      </c>
      <c r="B47" s="15" t="s">
        <v>121</v>
      </c>
      <c r="D47" s="16" t="s">
        <v>45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R47" s="18">
        <f>SUM(E47:P47)</f>
      </c>
      <c r="X47" s="21">
        <f>R47/$C$3</f>
      </c>
      <c r="Y47" s="21">
        <f>R47/$C$3/12</f>
      </c>
    </row>
    <row r="48" spans="1:25" s="15" customFormat="1" x14ac:dyDescent="0.25">
      <c r="A48" s="14" t="s">
        <v>122</v>
      </c>
      <c r="B48" s="15" t="s">
        <v>123</v>
      </c>
      <c r="D48" s="16" t="s">
        <v>45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R48" s="18">
        <f>SUM(E48:P48)</f>
      </c>
      <c r="X48" s="21">
        <f>R48/$C$3</f>
      </c>
      <c r="Y48" s="21">
        <f>R48/$C$3/12</f>
      </c>
    </row>
    <row r="49" spans="1:25" s="15" customFormat="1" x14ac:dyDescent="0.25">
      <c r="A49" s="14" t="s">
        <v>124</v>
      </c>
      <c r="B49" s="15" t="s">
        <v>125</v>
      </c>
      <c r="D49" s="16" t="s">
        <v>45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R49" s="18">
        <f>SUM(E49:P49)</f>
      </c>
      <c r="X49" s="21">
        <f>R49/$C$3</f>
      </c>
      <c r="Y49" s="21">
        <f>R49/$C$3/12</f>
      </c>
    </row>
    <row r="50" spans="1:25" s="15" customFormat="1" x14ac:dyDescent="0.25">
      <c r="A50" s="14" t="s">
        <v>126</v>
      </c>
      <c r="B50" s="15" t="s">
        <v>127</v>
      </c>
      <c r="D50" s="16" t="s">
        <v>45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R50" s="18">
        <f>SUM(E50:P50)</f>
      </c>
      <c r="X50" s="21">
        <f>R50/$C$3</f>
      </c>
      <c r="Y50" s="21">
        <f>R50/$C$3/12</f>
      </c>
    </row>
    <row r="51" spans="1:25" s="15" customFormat="1" x14ac:dyDescent="0.25">
      <c r="A51" s="14" t="s">
        <v>128</v>
      </c>
      <c r="B51" s="15" t="s">
        <v>129</v>
      </c>
      <c r="D51" s="16" t="s">
        <v>45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R51" s="18">
        <f>SUM(E51:P51)</f>
      </c>
      <c r="X51" s="21">
        <f>R51/$C$3</f>
      </c>
      <c r="Y51" s="21">
        <f>R51/$C$3/12</f>
      </c>
    </row>
    <row r="52" spans="1:25" s="15" customFormat="1" x14ac:dyDescent="0.25">
      <c r="A52" s="14" t="s">
        <v>130</v>
      </c>
      <c r="B52" s="15" t="s">
        <v>131</v>
      </c>
      <c r="D52" s="16" t="s">
        <v>45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R52" s="18">
        <f>SUM(E52:P52)</f>
      </c>
      <c r="X52" s="21">
        <f>R52/$C$3</f>
      </c>
      <c r="Y52" s="21">
        <f>R52/$C$3/12</f>
      </c>
    </row>
    <row r="53" spans="1:25" s="15" customFormat="1" x14ac:dyDescent="0.25">
      <c r="A53" s="14" t="s">
        <v>132</v>
      </c>
      <c r="B53" s="15" t="s">
        <v>133</v>
      </c>
      <c r="D53" s="16" t="s">
        <v>107</v>
      </c>
      <c r="E53" s="17">
        <v>232.48</v>
      </c>
      <c r="F53" s="17">
        <v>232.48</v>
      </c>
      <c r="G53" s="17">
        <v>227.61</v>
      </c>
      <c r="H53" s="17">
        <v>218.83</v>
      </c>
      <c r="I53" s="17">
        <v>196.41</v>
      </c>
      <c r="J53" s="17">
        <v>203.24</v>
      </c>
      <c r="K53" s="17">
        <v>212.98</v>
      </c>
      <c r="L53" s="17">
        <v>212.98</v>
      </c>
      <c r="M53" s="17">
        <v>208.11</v>
      </c>
      <c r="N53" s="17">
        <v>217.86</v>
      </c>
      <c r="O53" s="17">
        <v>222.73</v>
      </c>
      <c r="P53" s="17">
        <v>227.6</v>
      </c>
      <c r="R53" s="18">
        <f>SUM(E53:P53)</f>
      </c>
      <c r="U53" s="20">
        <v>6137.68</v>
      </c>
      <c r="X53" s="21">
        <f>R53/$C$3</f>
      </c>
      <c r="Y53" s="21">
        <f>R53/$C$3/12</f>
      </c>
    </row>
    <row r="54" spans="1:25" s="15" customFormat="1" x14ac:dyDescent="0.25">
      <c r="A54" s="14" t="s">
        <v>134</v>
      </c>
      <c r="B54" s="15" t="s">
        <v>135</v>
      </c>
      <c r="D54" s="16" t="s">
        <v>107</v>
      </c>
      <c r="E54" s="17">
        <v>148.65</v>
      </c>
      <c r="F54" s="17">
        <v>148.65</v>
      </c>
      <c r="G54" s="17">
        <v>134.03</v>
      </c>
      <c r="H54" s="17">
        <v>99.91</v>
      </c>
      <c r="I54" s="17">
        <v>99.91</v>
      </c>
      <c r="J54" s="17">
        <v>109.66</v>
      </c>
      <c r="K54" s="17">
        <v>119.41</v>
      </c>
      <c r="L54" s="17">
        <v>114.53</v>
      </c>
      <c r="M54" s="17">
        <v>104.78</v>
      </c>
      <c r="N54" s="17">
        <v>124.28</v>
      </c>
      <c r="O54" s="17">
        <v>158.4</v>
      </c>
      <c r="P54" s="17">
        <v>158.4</v>
      </c>
      <c r="R54" s="18">
        <f>SUM(E54:P54)</f>
      </c>
      <c r="U54" s="20">
        <v>3571.35</v>
      </c>
      <c r="X54" s="21">
        <f>R54/$C$3</f>
      </c>
      <c r="Y54" s="21">
        <f>R54/$C$3/12</f>
      </c>
    </row>
    <row r="55" spans="1:25" s="15" customFormat="1" x14ac:dyDescent="0.25">
      <c r="A55" s="14" t="s">
        <v>136</v>
      </c>
      <c r="B55" s="15" t="s">
        <v>137</v>
      </c>
      <c r="D55" s="16" t="s">
        <v>45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R55" s="18">
        <f>SUM(E55:P55)</f>
      </c>
      <c r="X55" s="21">
        <f>R55/$C$3</f>
      </c>
      <c r="Y55" s="21">
        <f>R55/$C$3/12</f>
      </c>
    </row>
    <row r="56" spans="1:25" s="15" customFormat="1" x14ac:dyDescent="0.25">
      <c r="A56" s="14" t="s">
        <v>138</v>
      </c>
      <c r="B56" s="15" t="s">
        <v>139</v>
      </c>
      <c r="D56" s="16" t="s">
        <v>45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R56" s="18">
        <f>SUM(E56:P56)</f>
      </c>
      <c r="X56" s="21">
        <f>R56/$C$3</f>
      </c>
      <c r="Y56" s="21">
        <f>R56/$C$3/12</f>
      </c>
    </row>
    <row r="57" spans="1:25" s="15" customFormat="1" x14ac:dyDescent="0.25">
      <c r="A57" s="14" t="s">
        <v>140</v>
      </c>
      <c r="B57" s="15" t="s">
        <v>141</v>
      </c>
      <c r="D57" s="16" t="s">
        <v>107</v>
      </c>
      <c r="E57" s="17">
        <v>53.13</v>
      </c>
      <c r="F57" s="17">
        <v>53.13</v>
      </c>
      <c r="G57" s="17">
        <v>53.13</v>
      </c>
      <c r="H57" s="17">
        <v>53.13</v>
      </c>
      <c r="I57" s="17">
        <v>53.13</v>
      </c>
      <c r="J57" s="17">
        <v>53.12</v>
      </c>
      <c r="K57" s="17">
        <v>53.12</v>
      </c>
      <c r="L57" s="17">
        <v>53.12</v>
      </c>
      <c r="M57" s="17">
        <v>53.12</v>
      </c>
      <c r="N57" s="17">
        <v>53.12</v>
      </c>
      <c r="O57" s="17">
        <v>53.12</v>
      </c>
      <c r="P57" s="17">
        <v>53.12</v>
      </c>
      <c r="R57" s="18">
        <f>SUM(E57:P57)</f>
      </c>
      <c r="U57" s="20">
        <v>1497.22</v>
      </c>
      <c r="X57" s="21">
        <f>R57/$C$3</f>
      </c>
      <c r="Y57" s="21">
        <f>R57/$C$3/12</f>
      </c>
    </row>
    <row r="58" spans="1:25" s="15" customFormat="1" x14ac:dyDescent="0.25">
      <c r="A58" s="14" t="s">
        <v>142</v>
      </c>
      <c r="B58" s="15" t="s">
        <v>143</v>
      </c>
      <c r="D58" s="16" t="s">
        <v>45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R58" s="18">
        <f>SUM(E58:P58)</f>
      </c>
      <c r="X58" s="21">
        <f>R58/$C$3</f>
      </c>
      <c r="Y58" s="21">
        <f>R58/$C$3/12</f>
      </c>
    </row>
    <row r="59" spans="1:25" s="15" customFormat="1" x14ac:dyDescent="0.25">
      <c r="A59" s="14" t="s">
        <v>144</v>
      </c>
      <c r="B59" s="15" t="s">
        <v>145</v>
      </c>
      <c r="D59" s="16" t="s">
        <v>107</v>
      </c>
      <c r="E59" s="17">
        <v>48.25</v>
      </c>
      <c r="F59" s="17">
        <v>107.71</v>
      </c>
      <c r="G59" s="17">
        <v>152.55</v>
      </c>
      <c r="H59" s="17">
        <v>93.09</v>
      </c>
      <c r="I59" s="17">
        <v>71.65</v>
      </c>
      <c r="J59" s="17">
        <v>60.92</v>
      </c>
      <c r="K59" s="17">
        <v>48.25</v>
      </c>
      <c r="L59" s="17">
        <v>93.09</v>
      </c>
      <c r="M59" s="17">
        <v>62.87</v>
      </c>
      <c r="N59" s="17">
        <v>48.25</v>
      </c>
      <c r="O59" s="17">
        <v>77.49</v>
      </c>
      <c r="P59" s="17">
        <v>48.25</v>
      </c>
      <c r="R59" s="18">
        <f>SUM(E59:P59)</f>
      </c>
      <c r="U59" s="20">
        <v>2142.81</v>
      </c>
      <c r="X59" s="21">
        <f>R59/$C$3</f>
      </c>
      <c r="Y59" s="21">
        <f>R59/$C$3/12</f>
      </c>
    </row>
    <row r="60" spans="1:25" s="15" customFormat="1" x14ac:dyDescent="0.25">
      <c r="A60" s="14" t="s">
        <v>146</v>
      </c>
      <c r="B60" s="15" t="s">
        <v>147</v>
      </c>
      <c r="D60" s="16" t="s">
        <v>107</v>
      </c>
      <c r="E60" s="17">
        <v>644.75</v>
      </c>
      <c r="F60" s="17">
        <v>644.75</v>
      </c>
      <c r="G60" s="17">
        <v>644.75</v>
      </c>
      <c r="H60" s="17">
        <v>644.74</v>
      </c>
      <c r="I60" s="17">
        <v>644.75</v>
      </c>
      <c r="J60" s="17">
        <v>644.74</v>
      </c>
      <c r="K60" s="17">
        <v>644.74</v>
      </c>
      <c r="L60" s="17">
        <v>644.74</v>
      </c>
      <c r="M60" s="17">
        <v>644.74</v>
      </c>
      <c r="N60" s="17">
        <v>644.74</v>
      </c>
      <c r="O60" s="17">
        <v>644.74</v>
      </c>
      <c r="P60" s="17">
        <v>644.74</v>
      </c>
      <c r="R60" s="18">
        <f>SUM(E60:P60)</f>
      </c>
      <c r="U60" s="20">
        <v>18171.12</v>
      </c>
      <c r="X60" s="21">
        <f>R60/$C$3</f>
      </c>
      <c r="Y60" s="21">
        <f>R60/$C$3/12</f>
      </c>
    </row>
    <row r="61" spans="1:25" s="15" customFormat="1" x14ac:dyDescent="0.25">
      <c r="A61" s="14" t="s">
        <v>148</v>
      </c>
      <c r="B61" s="15" t="s">
        <v>149</v>
      </c>
      <c r="D61" s="16" t="s">
        <v>107</v>
      </c>
      <c r="E61" s="17">
        <v>26.81</v>
      </c>
      <c r="F61" s="17">
        <v>26.81</v>
      </c>
      <c r="G61" s="17">
        <v>26.81</v>
      </c>
      <c r="H61" s="17">
        <v>26.81</v>
      </c>
      <c r="I61" s="17">
        <v>26.81</v>
      </c>
      <c r="J61" s="17">
        <v>26.81</v>
      </c>
      <c r="K61" s="17">
        <v>26.81</v>
      </c>
      <c r="L61" s="17">
        <v>26.8</v>
      </c>
      <c r="M61" s="17">
        <v>26.8</v>
      </c>
      <c r="N61" s="17">
        <v>26.8</v>
      </c>
      <c r="O61" s="17">
        <v>26.8</v>
      </c>
      <c r="P61" s="17">
        <v>26.8</v>
      </c>
      <c r="R61" s="18">
        <f>SUM(E61:P61)</f>
      </c>
      <c r="U61" s="20">
        <v>755.48</v>
      </c>
      <c r="X61" s="21">
        <f>R61/$C$3</f>
      </c>
      <c r="Y61" s="21">
        <f>R61/$C$3/12</f>
      </c>
    </row>
    <row r="62" spans="1:25" s="15" customFormat="1" x14ac:dyDescent="0.25">
      <c r="A62" s="14" t="s">
        <v>150</v>
      </c>
      <c r="B62" s="15" t="s">
        <v>151</v>
      </c>
      <c r="D62" s="16" t="s">
        <v>45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R62" s="18">
        <f>SUM(E62:P62)</f>
      </c>
      <c r="X62" s="21">
        <f>R62/$C$3</f>
      </c>
      <c r="Y62" s="21">
        <f>R62/$C$3/12</f>
      </c>
    </row>
    <row r="63" spans="1:25" s="15" customFormat="1" x14ac:dyDescent="0.25">
      <c r="A63" s="14" t="s">
        <v>152</v>
      </c>
      <c r="B63" s="15" t="s">
        <v>153</v>
      </c>
      <c r="D63" s="16" t="s">
        <v>45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R63" s="18">
        <f>SUM(E63:P63)</f>
      </c>
      <c r="X63" s="21">
        <f>R63/$C$3</f>
      </c>
      <c r="Y63" s="21">
        <f>R63/$C$3/12</f>
      </c>
    </row>
    <row r="64" spans="1:25" s="15" customFormat="1" x14ac:dyDescent="0.25">
      <c r="A64" s="14" t="s">
        <v>154</v>
      </c>
      <c r="B64" s="15" t="s">
        <v>155</v>
      </c>
      <c r="D64" s="16" t="s">
        <v>107</v>
      </c>
      <c r="E64" s="17">
        <v>164.73</v>
      </c>
      <c r="F64" s="17">
        <v>164.73</v>
      </c>
      <c r="G64" s="17">
        <v>213.47</v>
      </c>
      <c r="H64" s="17">
        <v>217.37</v>
      </c>
      <c r="I64" s="17">
        <v>235.89</v>
      </c>
      <c r="J64" s="17">
        <v>232.97</v>
      </c>
      <c r="K64" s="17">
        <v>223.22</v>
      </c>
      <c r="L64" s="17">
        <v>203.72</v>
      </c>
      <c r="M64" s="17">
        <v>184.23</v>
      </c>
      <c r="N64" s="17">
        <v>184.23</v>
      </c>
      <c r="O64" s="17">
        <v>203.72</v>
      </c>
      <c r="P64" s="17">
        <v>203.72</v>
      </c>
      <c r="R64" s="18">
        <f>SUM(E64:P64)</f>
      </c>
      <c r="U64" s="20">
        <v>5711.87</v>
      </c>
      <c r="X64" s="21">
        <f>R64/$C$3</f>
      </c>
      <c r="Y64" s="21">
        <f>R64/$C$3/12</f>
      </c>
    </row>
    <row r="65" spans="1:25" s="15" customFormat="1" x14ac:dyDescent="0.25">
      <c r="A65" s="14" t="s">
        <v>156</v>
      </c>
      <c r="B65" s="15" t="s">
        <v>157</v>
      </c>
      <c r="D65" s="16" t="s">
        <v>107</v>
      </c>
      <c r="E65" s="17">
        <v>42.11</v>
      </c>
      <c r="F65" s="17">
        <v>42.11</v>
      </c>
      <c r="G65" s="17">
        <v>42.11</v>
      </c>
      <c r="H65" s="17">
        <v>42.11</v>
      </c>
      <c r="I65" s="17">
        <v>42.11</v>
      </c>
      <c r="J65" s="17">
        <v>42.11</v>
      </c>
      <c r="K65" s="17">
        <v>42.11</v>
      </c>
      <c r="L65" s="17">
        <v>42.11</v>
      </c>
      <c r="M65" s="17">
        <v>42.11</v>
      </c>
      <c r="N65" s="17">
        <v>42.11</v>
      </c>
      <c r="O65" s="17">
        <v>42.11</v>
      </c>
      <c r="P65" s="17">
        <v>42.1</v>
      </c>
      <c r="R65" s="18">
        <f>SUM(E65:P65)</f>
      </c>
      <c r="U65" s="20">
        <v>1186.79</v>
      </c>
      <c r="X65" s="21">
        <f>R65/$C$3</f>
      </c>
      <c r="Y65" s="21">
        <f>R65/$C$3/12</f>
      </c>
    </row>
    <row r="66" spans="1:25" s="15" customFormat="1" x14ac:dyDescent="0.25">
      <c r="A66" s="14" t="s">
        <v>158</v>
      </c>
      <c r="B66" s="15" t="s">
        <v>159</v>
      </c>
      <c r="D66" s="16" t="s">
        <v>107</v>
      </c>
      <c r="E66" s="17">
        <v>1065.4</v>
      </c>
      <c r="F66" s="17">
        <v>933.81</v>
      </c>
      <c r="G66" s="17">
        <v>1070.28</v>
      </c>
      <c r="H66" s="17">
        <v>1115.12</v>
      </c>
      <c r="I66" s="17">
        <v>708.64</v>
      </c>
      <c r="J66" s="17">
        <v>709.62</v>
      </c>
      <c r="K66" s="17">
        <v>826.59</v>
      </c>
      <c r="L66" s="17">
        <v>1211.62</v>
      </c>
      <c r="M66" s="17">
        <v>1270.1</v>
      </c>
      <c r="N66" s="17">
        <v>1123.89</v>
      </c>
      <c r="O66" s="17">
        <v>1182.37</v>
      </c>
      <c r="P66" s="17">
        <v>1182.37</v>
      </c>
      <c r="R66" s="18">
        <f>SUM(E66:P66)</f>
      </c>
      <c r="U66" s="20">
        <v>29122.51</v>
      </c>
      <c r="X66" s="21">
        <f>R66/$C$3</f>
      </c>
      <c r="Y66" s="21">
        <f>R66/$C$3/12</f>
      </c>
    </row>
    <row r="67" spans="1:25" s="15" customFormat="1" x14ac:dyDescent="0.25">
      <c r="A67" s="14" t="s">
        <v>160</v>
      </c>
      <c r="B67" s="15" t="s">
        <v>161</v>
      </c>
      <c r="D67" s="16" t="s">
        <v>107</v>
      </c>
      <c r="E67" s="17">
        <v>23.81</v>
      </c>
      <c r="F67" s="17">
        <v>23.8</v>
      </c>
      <c r="G67" s="17">
        <v>23.8</v>
      </c>
      <c r="H67" s="17">
        <v>23.8</v>
      </c>
      <c r="I67" s="17">
        <v>23.8</v>
      </c>
      <c r="J67" s="17">
        <v>23.8</v>
      </c>
      <c r="K67" s="17">
        <v>23.8</v>
      </c>
      <c r="L67" s="17">
        <v>23.8</v>
      </c>
      <c r="M67" s="17">
        <v>23.8</v>
      </c>
      <c r="N67" s="17">
        <v>23.8</v>
      </c>
      <c r="O67" s="17">
        <v>23.8</v>
      </c>
      <c r="P67" s="17">
        <v>23.8</v>
      </c>
      <c r="R67" s="18">
        <f>SUM(E67:P67)</f>
      </c>
      <c r="U67" s="20">
        <v>670.78</v>
      </c>
      <c r="X67" s="21">
        <f>R67/$C$3</f>
      </c>
      <c r="Y67" s="21">
        <f>R67/$C$3/12</f>
      </c>
    </row>
    <row r="68" spans="1:25" s="15" customFormat="1" x14ac:dyDescent="0.25">
      <c r="A68" s="14" t="s">
        <v>162</v>
      </c>
      <c r="B68" s="15" t="s">
        <v>163</v>
      </c>
      <c r="D68" s="16" t="s">
        <v>45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R68" s="18">
        <f>SUM(E68:P68)</f>
      </c>
      <c r="X68" s="21">
        <f>R68/$C$3</f>
      </c>
      <c r="Y68" s="21">
        <f>R68/$C$3/12</f>
      </c>
    </row>
    <row r="69" spans="1:25" s="15" customFormat="1" x14ac:dyDescent="0.25">
      <c r="A69" s="14" t="s">
        <v>164</v>
      </c>
      <c r="B69" s="15" t="s">
        <v>165</v>
      </c>
      <c r="D69" s="16" t="s">
        <v>107</v>
      </c>
      <c r="E69" s="17">
        <v>307.78</v>
      </c>
      <c r="F69" s="17">
        <v>237.35</v>
      </c>
      <c r="G69" s="17">
        <v>227.6</v>
      </c>
      <c r="H69" s="17">
        <v>167.17</v>
      </c>
      <c r="I69" s="17">
        <v>154.25</v>
      </c>
      <c r="J69" s="17">
        <v>173.75</v>
      </c>
      <c r="K69" s="17">
        <v>270.25</v>
      </c>
      <c r="L69" s="17">
        <v>314.11</v>
      </c>
      <c r="M69" s="17">
        <v>348.23</v>
      </c>
      <c r="N69" s="17">
        <v>359.44</v>
      </c>
      <c r="O69" s="17">
        <v>378.94</v>
      </c>
      <c r="P69" s="17">
        <v>408.18</v>
      </c>
      <c r="R69" s="18">
        <f>SUM(E69:P69)</f>
      </c>
      <c r="U69" s="20">
        <v>7860.97</v>
      </c>
      <c r="X69" s="21">
        <f>R69/$C$3</f>
      </c>
      <c r="Y69" s="21">
        <f>R69/$C$3/12</f>
      </c>
    </row>
    <row r="70" spans="1:25" s="15" customFormat="1" x14ac:dyDescent="0.25">
      <c r="A70" s="14" t="s">
        <v>166</v>
      </c>
      <c r="B70" s="15" t="s">
        <v>167</v>
      </c>
      <c r="D70" s="16" t="s">
        <v>107</v>
      </c>
      <c r="E70" s="17">
        <v>336.78</v>
      </c>
      <c r="F70" s="17">
        <v>336.78</v>
      </c>
      <c r="G70" s="17">
        <v>327.03</v>
      </c>
      <c r="H70" s="17">
        <v>331.9</v>
      </c>
      <c r="I70" s="17">
        <v>331.9</v>
      </c>
      <c r="J70" s="17">
        <v>336.78</v>
      </c>
      <c r="K70" s="17">
        <v>336.78</v>
      </c>
      <c r="L70" s="17">
        <v>336.78</v>
      </c>
      <c r="M70" s="17">
        <v>336.77</v>
      </c>
      <c r="N70" s="17">
        <v>331.9</v>
      </c>
      <c r="O70" s="17">
        <v>331.9</v>
      </c>
      <c r="P70" s="17">
        <v>341.65</v>
      </c>
      <c r="R70" s="18">
        <f>SUM(E70:P70)</f>
      </c>
      <c r="U70" s="20">
        <v>9434.31</v>
      </c>
      <c r="X70" s="21">
        <f>R70/$C$3</f>
      </c>
      <c r="Y70" s="21">
        <f>R70/$C$3/12</f>
      </c>
    </row>
    <row r="71" spans="1:25" s="15" customFormat="1" x14ac:dyDescent="0.25">
      <c r="A71" s="14" t="s">
        <v>168</v>
      </c>
      <c r="B71" s="15" t="s">
        <v>169</v>
      </c>
      <c r="D71" s="16" t="s">
        <v>45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R71" s="18">
        <f>SUM(E71:P71)</f>
      </c>
      <c r="X71" s="21">
        <f>R71/$C$3</f>
      </c>
      <c r="Y71" s="21">
        <f>R71/$C$3/12</f>
      </c>
    </row>
    <row r="72" spans="1:25" s="15" customFormat="1" x14ac:dyDescent="0.25">
      <c r="A72" s="14" t="s">
        <v>170</v>
      </c>
      <c r="B72" s="15" t="s">
        <v>171</v>
      </c>
      <c r="D72" s="16" t="s">
        <v>107</v>
      </c>
      <c r="E72" s="17">
        <v>524.42</v>
      </c>
      <c r="F72" s="17">
        <v>527.34</v>
      </c>
      <c r="G72" s="17">
        <v>518.57</v>
      </c>
      <c r="H72" s="17">
        <v>525.39</v>
      </c>
      <c r="I72" s="17">
        <v>528.32</v>
      </c>
      <c r="J72" s="17">
        <v>528.31</v>
      </c>
      <c r="K72" s="17">
        <v>528.31</v>
      </c>
      <c r="L72" s="17">
        <v>528.31</v>
      </c>
      <c r="M72" s="17">
        <v>527.34</v>
      </c>
      <c r="N72" s="17">
        <v>528.31</v>
      </c>
      <c r="O72" s="17">
        <v>522.47</v>
      </c>
      <c r="P72" s="17">
        <v>518.57</v>
      </c>
      <c r="R72" s="18">
        <f>SUM(E72:P72)</f>
      </c>
      <c r="U72" s="20">
        <v>14809.65</v>
      </c>
      <c r="X72" s="21">
        <f>R72/$C$3</f>
      </c>
      <c r="Y72" s="21">
        <f>R72/$C$3/12</f>
      </c>
    </row>
    <row r="73" spans="1:25" s="15" customFormat="1" x14ac:dyDescent="0.25">
      <c r="A73" s="14" t="s">
        <v>172</v>
      </c>
      <c r="B73" s="15" t="s">
        <v>173</v>
      </c>
      <c r="D73" s="16" t="s">
        <v>45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R73" s="18">
        <f>SUM(E73:P73)</f>
      </c>
      <c r="X73" s="21">
        <f>R73/$C$3</f>
      </c>
      <c r="Y73" s="21">
        <f>R73/$C$3/12</f>
      </c>
    </row>
    <row r="74" spans="1:25" s="15" customFormat="1" x14ac:dyDescent="0.25">
      <c r="A74" s="14" t="s">
        <v>174</v>
      </c>
      <c r="B74" s="15" t="s">
        <v>175</v>
      </c>
      <c r="D74" s="16" t="s">
        <v>45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R74" s="18">
        <f>SUM(E74:P74)</f>
      </c>
      <c r="X74" s="21">
        <f>R74/$C$3</f>
      </c>
      <c r="Y74" s="21">
        <f>R74/$C$3/12</f>
      </c>
    </row>
    <row r="75" spans="1:25" s="15" customFormat="1" x14ac:dyDescent="0.25">
      <c r="A75" s="14" t="s">
        <v>176</v>
      </c>
      <c r="B75" s="15" t="s">
        <v>177</v>
      </c>
      <c r="D75" s="16" t="s">
        <v>45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R75" s="18">
        <f>SUM(E75:P75)</f>
      </c>
      <c r="X75" s="21">
        <f>R75/$C$3</f>
      </c>
      <c r="Y75" s="21">
        <f>R75/$C$3/12</f>
      </c>
    </row>
    <row r="76" spans="1:25" s="15" customFormat="1" x14ac:dyDescent="0.25">
      <c r="A76" s="14" t="s">
        <v>178</v>
      </c>
      <c r="B76" s="15" t="s">
        <v>179</v>
      </c>
      <c r="D76" s="16" t="s">
        <v>45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R76" s="18">
        <f>SUM(E76:P76)</f>
      </c>
      <c r="X76" s="21">
        <f>R76/$C$3</f>
      </c>
      <c r="Y76" s="21">
        <f>R76/$C$3/12</f>
      </c>
    </row>
    <row r="77" spans="1:25" s="15" customFormat="1" x14ac:dyDescent="0.25">
      <c r="A77" s="14" t="s">
        <v>180</v>
      </c>
      <c r="B77" s="15" t="s">
        <v>181</v>
      </c>
      <c r="D77" s="16" t="s">
        <v>107</v>
      </c>
      <c r="E77" s="17">
        <v>1022.03</v>
      </c>
      <c r="F77" s="17">
        <v>1051.27</v>
      </c>
      <c r="G77" s="17">
        <v>1056.14</v>
      </c>
      <c r="H77" s="17">
        <v>1056.14</v>
      </c>
      <c r="I77" s="17">
        <v>1075.64</v>
      </c>
      <c r="J77" s="17">
        <v>1080.51</v>
      </c>
      <c r="K77" s="17">
        <v>1075.64</v>
      </c>
      <c r="L77" s="17">
        <v>1065.89</v>
      </c>
      <c r="M77" s="17">
        <v>1036.65</v>
      </c>
      <c r="N77" s="17">
        <v>1022.03</v>
      </c>
      <c r="O77" s="17">
        <v>1022.02</v>
      </c>
      <c r="P77" s="17">
        <v>1036.65</v>
      </c>
      <c r="R77" s="18">
        <f>SUM(E77:P77)</f>
      </c>
      <c r="U77" s="20">
        <v>29594.12</v>
      </c>
      <c r="X77" s="21">
        <f>R77/$C$3</f>
      </c>
      <c r="Y77" s="21">
        <f>R77/$C$3/12</f>
      </c>
    </row>
    <row r="78" spans="1:25" s="15" customFormat="1" x14ac:dyDescent="0.25">
      <c r="A78" s="14" t="s">
        <v>182</v>
      </c>
      <c r="B78" s="15" t="s">
        <v>183</v>
      </c>
      <c r="D78" s="16" t="s">
        <v>107</v>
      </c>
      <c r="E78" s="17">
        <v>221.76</v>
      </c>
      <c r="F78" s="17">
        <v>221.76</v>
      </c>
      <c r="G78" s="17">
        <v>192.51</v>
      </c>
      <c r="H78" s="17">
        <v>153.52</v>
      </c>
      <c r="I78" s="17">
        <v>299.74</v>
      </c>
      <c r="J78" s="17">
        <v>231.5</v>
      </c>
      <c r="K78" s="17">
        <v>221.76</v>
      </c>
      <c r="L78" s="17">
        <v>260.74</v>
      </c>
      <c r="M78" s="17">
        <v>251</v>
      </c>
      <c r="N78" s="17">
        <v>231.5</v>
      </c>
      <c r="O78" s="17">
        <v>270.49</v>
      </c>
      <c r="P78" s="17">
        <v>251</v>
      </c>
      <c r="R78" s="18">
        <f>SUM(E78:P78)</f>
      </c>
      <c r="U78" s="20">
        <v>6593.26</v>
      </c>
      <c r="X78" s="21">
        <f>R78/$C$3</f>
      </c>
      <c r="Y78" s="21">
        <f>R78/$C$3/12</f>
      </c>
    </row>
    <row r="79" spans="1:25" s="15" customFormat="1" x14ac:dyDescent="0.25">
      <c r="A79" s="14" t="s">
        <v>184</v>
      </c>
      <c r="B79" s="15" t="s">
        <v>185</v>
      </c>
      <c r="D79" s="16" t="s">
        <v>186</v>
      </c>
      <c r="E79" s="17">
        <v>3640.96</v>
      </c>
      <c r="F79" s="17">
        <v>3837.12</v>
      </c>
      <c r="G79" s="17">
        <v>3747.52</v>
      </c>
      <c r="H79" s="17">
        <v>3232.92</v>
      </c>
      <c r="I79" s="17">
        <v>2432.56</v>
      </c>
      <c r="J79" s="17">
        <v>2633.55</v>
      </c>
      <c r="K79" s="17">
        <v>2583.91</v>
      </c>
      <c r="L79" s="17">
        <v>3261.97</v>
      </c>
      <c r="M79" s="17">
        <v>3219.6</v>
      </c>
      <c r="N79" s="17">
        <v>3242.6</v>
      </c>
      <c r="O79" s="17">
        <v>3689.4</v>
      </c>
      <c r="P79" s="17">
        <v>3585.27</v>
      </c>
      <c r="R79" s="18">
        <f>SUM(E79:P79)</f>
      </c>
      <c r="U79" s="20">
        <v>36970.32</v>
      </c>
      <c r="X79" s="21">
        <f>R79/$C$3</f>
      </c>
      <c r="Y79" s="21">
        <f>R79/$C$3/12</f>
      </c>
    </row>
    <row r="80" spans="1:25" s="15" customFormat="1" x14ac:dyDescent="0.25">
      <c r="A80" s="14" t="s">
        <v>187</v>
      </c>
      <c r="B80" s="15" t="s">
        <v>188</v>
      </c>
      <c r="D80" s="16" t="s">
        <v>107</v>
      </c>
      <c r="E80" s="17">
        <v>7.8</v>
      </c>
      <c r="F80" s="17">
        <v>7.8</v>
      </c>
      <c r="G80" s="17">
        <v>7.8</v>
      </c>
      <c r="H80" s="17">
        <v>7.8</v>
      </c>
      <c r="I80" s="17">
        <v>7.8</v>
      </c>
      <c r="J80" s="17">
        <v>7.8</v>
      </c>
      <c r="K80" s="17">
        <v>7.8</v>
      </c>
      <c r="L80" s="17">
        <v>7.8</v>
      </c>
      <c r="M80" s="17">
        <v>7.8</v>
      </c>
      <c r="N80" s="17">
        <v>7.8</v>
      </c>
      <c r="O80" s="17">
        <v>7.79</v>
      </c>
      <c r="P80" s="17">
        <v>7.79</v>
      </c>
      <c r="R80" s="18">
        <f>SUM(E80:P80)</f>
      </c>
      <c r="U80" s="20">
        <v>219.78</v>
      </c>
      <c r="X80" s="21">
        <f>R80/$C$3</f>
      </c>
      <c r="Y80" s="21">
        <f>R80/$C$3/12</f>
      </c>
    </row>
    <row r="81" spans="1:25" s="15" customFormat="1" x14ac:dyDescent="0.25">
      <c r="A81" s="14" t="s">
        <v>189</v>
      </c>
      <c r="B81" s="15" t="s">
        <v>190</v>
      </c>
      <c r="D81" s="16" t="s">
        <v>186</v>
      </c>
      <c r="E81" s="17">
        <v>2127.43</v>
      </c>
      <c r="F81" s="17">
        <v>1996.66</v>
      </c>
      <c r="G81" s="17">
        <v>1922.8</v>
      </c>
      <c r="H81" s="17">
        <v>1945.8</v>
      </c>
      <c r="I81" s="17">
        <v>2065.67</v>
      </c>
      <c r="J81" s="17">
        <v>1988.18</v>
      </c>
      <c r="K81" s="17">
        <v>2454.35</v>
      </c>
      <c r="L81" s="17">
        <v>2284.84</v>
      </c>
      <c r="M81" s="17">
        <v>2190.39</v>
      </c>
      <c r="N81" s="17">
        <v>2091.1</v>
      </c>
      <c r="O81" s="17">
        <v>2177.07</v>
      </c>
      <c r="P81" s="17">
        <v>2007.56</v>
      </c>
      <c r="R81" s="18">
        <f>SUM(E81:P81)</f>
      </c>
      <c r="U81" s="20">
        <v>23871.95</v>
      </c>
      <c r="X81" s="21">
        <f>R81/$C$3</f>
      </c>
      <c r="Y81" s="21">
        <f>R81/$C$3/12</f>
      </c>
    </row>
    <row r="82" spans="1:25" s="15" customFormat="1" x14ac:dyDescent="0.25">
      <c r="A82" s="14" t="s">
        <v>191</v>
      </c>
      <c r="B82" s="15" t="s">
        <v>192</v>
      </c>
      <c r="D82" s="16" t="s">
        <v>186</v>
      </c>
      <c r="E82" s="17">
        <v>1228.19</v>
      </c>
      <c r="F82" s="17">
        <v>1203.97</v>
      </c>
      <c r="G82" s="17">
        <v>1203.97</v>
      </c>
      <c r="H82" s="17">
        <v>1194.28</v>
      </c>
      <c r="I82" s="17">
        <v>1179.75</v>
      </c>
      <c r="J82" s="17">
        <v>1179.75</v>
      </c>
      <c r="K82" s="17">
        <v>1179.75</v>
      </c>
      <c r="L82" s="17">
        <v>1179.75</v>
      </c>
      <c r="M82" s="17">
        <v>1179.75</v>
      </c>
      <c r="N82" s="17">
        <v>1179.75</v>
      </c>
      <c r="O82" s="17">
        <v>1203.97</v>
      </c>
      <c r="P82" s="17">
        <v>1228.19</v>
      </c>
      <c r="R82" s="18">
        <f>SUM(E82:P82)</f>
      </c>
      <c r="U82" s="20">
        <v>13557.39</v>
      </c>
      <c r="X82" s="21">
        <f>R82/$C$3</f>
      </c>
      <c r="Y82" s="21">
        <f>R82/$C$3/12</f>
      </c>
    </row>
    <row r="83" spans="1:25" s="15" customFormat="1" x14ac:dyDescent="0.25">
      <c r="A83" s="14" t="s">
        <v>193</v>
      </c>
      <c r="B83" s="15" t="s">
        <v>194</v>
      </c>
      <c r="D83" s="16" t="s">
        <v>186</v>
      </c>
      <c r="E83" s="17">
        <v>1437.25</v>
      </c>
      <c r="F83" s="17">
        <v>1248.37</v>
      </c>
      <c r="G83" s="17">
        <v>1078.85</v>
      </c>
      <c r="H83" s="17">
        <v>1107.91</v>
      </c>
      <c r="I83" s="17">
        <v>2149.22</v>
      </c>
      <c r="J83" s="17">
        <v>2018.45</v>
      </c>
      <c r="K83" s="17">
        <v>2569.38</v>
      </c>
      <c r="L83" s="17">
        <v>3734.2</v>
      </c>
      <c r="M83" s="17">
        <v>3100.94</v>
      </c>
      <c r="N83" s="17">
        <v>2525.79</v>
      </c>
      <c r="O83" s="17">
        <v>2111.69</v>
      </c>
      <c r="P83" s="17">
        <v>1593.45</v>
      </c>
      <c r="R83" s="18">
        <f>SUM(E83:P83)</f>
      </c>
      <c r="U83" s="20">
        <v>23327.09</v>
      </c>
      <c r="X83" s="21">
        <f>R83/$C$3</f>
      </c>
      <c r="Y83" s="21">
        <f>R83/$C$3/12</f>
      </c>
    </row>
    <row r="84" spans="1:25" s="15" customFormat="1" x14ac:dyDescent="0.25">
      <c r="A84" s="14" t="s">
        <v>195</v>
      </c>
      <c r="B84" s="15" t="s">
        <v>196</v>
      </c>
      <c r="D84" s="16" t="s">
        <v>186</v>
      </c>
      <c r="E84" s="17">
        <v>41.17</v>
      </c>
      <c r="F84" s="17">
        <v>41.17</v>
      </c>
      <c r="G84" s="17">
        <v>41.17</v>
      </c>
      <c r="H84" s="17">
        <v>41.17</v>
      </c>
      <c r="I84" s="17">
        <v>41.17</v>
      </c>
      <c r="J84" s="17">
        <v>41.17</v>
      </c>
      <c r="K84" s="17">
        <v>41.17</v>
      </c>
      <c r="L84" s="17">
        <v>41.17</v>
      </c>
      <c r="M84" s="17">
        <v>41.17</v>
      </c>
      <c r="N84" s="17">
        <v>41.17</v>
      </c>
      <c r="O84" s="17">
        <v>41.16</v>
      </c>
      <c r="P84" s="17">
        <v>41.16</v>
      </c>
      <c r="R84" s="18">
        <f>SUM(E84:P84)</f>
      </c>
      <c r="U84" s="20">
        <v>467.02</v>
      </c>
      <c r="X84" s="21">
        <f>R84/$C$3</f>
      </c>
      <c r="Y84" s="21">
        <f>R84/$C$3/12</f>
      </c>
    </row>
    <row r="85" spans="1:25" s="15" customFormat="1" x14ac:dyDescent="0.25">
      <c r="A85" s="14" t="s">
        <v>197</v>
      </c>
      <c r="B85" s="15" t="s">
        <v>198</v>
      </c>
      <c r="D85" s="16" t="s">
        <v>186</v>
      </c>
      <c r="E85" s="17">
        <v>3459.34</v>
      </c>
      <c r="F85" s="17">
        <v>3705.14</v>
      </c>
      <c r="G85" s="17">
        <v>3878.29</v>
      </c>
      <c r="H85" s="17">
        <v>3103.36</v>
      </c>
      <c r="I85" s="17">
        <v>2824.86</v>
      </c>
      <c r="J85" s="17">
        <v>2339.32</v>
      </c>
      <c r="K85" s="17">
        <v>2271.52</v>
      </c>
      <c r="L85" s="17">
        <v>2766.74</v>
      </c>
      <c r="M85" s="17">
        <v>2783.7</v>
      </c>
      <c r="N85" s="17">
        <v>2657.77</v>
      </c>
      <c r="O85" s="17">
        <v>3113.04</v>
      </c>
      <c r="P85" s="17">
        <v>3283.77</v>
      </c>
      <c r="R85" s="18">
        <f>SUM(E85:P85)</f>
      </c>
      <c r="U85" s="20">
        <v>34209.4</v>
      </c>
      <c r="X85" s="21">
        <f>R85/$C$3</f>
      </c>
      <c r="Y85" s="21">
        <f>R85/$C$3/12</f>
      </c>
    </row>
    <row r="86" spans="1:25" s="15" customFormat="1" x14ac:dyDescent="0.25">
      <c r="A86" s="14" t="s">
        <v>199</v>
      </c>
      <c r="B86" s="15" t="s">
        <v>200</v>
      </c>
      <c r="D86" s="16" t="s">
        <v>45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R86" s="18">
        <f>SUM(E86:P86)</f>
      </c>
      <c r="X86" s="21">
        <f>R86/$C$3</f>
      </c>
      <c r="Y86" s="21">
        <f>R86/$C$3/12</f>
      </c>
    </row>
    <row r="87" spans="1:25" s="15" customFormat="1" x14ac:dyDescent="0.25">
      <c r="A87" s="14" t="s">
        <v>201</v>
      </c>
      <c r="B87" s="15" t="s">
        <v>202</v>
      </c>
      <c r="D87" s="16" t="s">
        <v>107</v>
      </c>
      <c r="E87" s="17">
        <v>38.04</v>
      </c>
      <c r="F87" s="17">
        <v>49.73</v>
      </c>
      <c r="G87" s="17">
        <v>53.63</v>
      </c>
      <c r="H87" s="17">
        <v>38.04</v>
      </c>
      <c r="I87" s="17">
        <v>40.96</v>
      </c>
      <c r="J87" s="17">
        <v>55.1</v>
      </c>
      <c r="K87" s="17">
        <v>41.94</v>
      </c>
      <c r="L87" s="17">
        <v>39.01</v>
      </c>
      <c r="M87" s="17">
        <v>38.04</v>
      </c>
      <c r="N87" s="17">
        <v>38.52</v>
      </c>
      <c r="O87" s="17">
        <v>39.01</v>
      </c>
      <c r="P87" s="17">
        <v>44.37</v>
      </c>
      <c r="R87" s="18">
        <f>SUM(E87:P87)</f>
      </c>
      <c r="U87" s="20">
        <v>1212.8</v>
      </c>
      <c r="X87" s="21">
        <f>R87/$C$3</f>
      </c>
      <c r="Y87" s="21">
        <f>R87/$C$3/12</f>
      </c>
    </row>
    <row r="88" spans="1:25" s="15" customFormat="1" x14ac:dyDescent="0.25">
      <c r="A88" s="14" t="s">
        <v>203</v>
      </c>
      <c r="B88" s="15" t="s">
        <v>204</v>
      </c>
      <c r="D88" s="16" t="s">
        <v>107</v>
      </c>
      <c r="E88" s="17">
        <v>373.52</v>
      </c>
      <c r="F88" s="17">
        <v>373.52</v>
      </c>
      <c r="G88" s="17">
        <v>373.52</v>
      </c>
      <c r="H88" s="17">
        <v>373.52</v>
      </c>
      <c r="I88" s="17">
        <v>373.52</v>
      </c>
      <c r="J88" s="17">
        <v>373.51</v>
      </c>
      <c r="K88" s="17">
        <v>373.51</v>
      </c>
      <c r="L88" s="17">
        <v>373.51</v>
      </c>
      <c r="M88" s="17">
        <v>373.51</v>
      </c>
      <c r="N88" s="17">
        <v>373.51</v>
      </c>
      <c r="O88" s="17">
        <v>373.51</v>
      </c>
      <c r="P88" s="17">
        <v>373.51</v>
      </c>
      <c r="R88" s="18">
        <f>SUM(E88:P88)</f>
      </c>
      <c r="U88" s="20">
        <v>10526.93</v>
      </c>
      <c r="X88" s="21">
        <f>R88/$C$3</f>
      </c>
      <c r="Y88" s="21">
        <f>R88/$C$3/12</f>
      </c>
    </row>
    <row r="89" spans="1:25" s="15" customFormat="1" x14ac:dyDescent="0.25">
      <c r="A89" s="14" t="s">
        <v>205</v>
      </c>
      <c r="B89" s="15" t="s">
        <v>206</v>
      </c>
      <c r="D89" s="16" t="s">
        <v>45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R89" s="18">
        <f>SUM(E89:P89)</f>
      </c>
      <c r="X89" s="21">
        <f>R89/$C$3</f>
      </c>
      <c r="Y89" s="21">
        <f>R89/$C$3/12</f>
      </c>
    </row>
    <row r="90" spans="1:25" s="15" customFormat="1" x14ac:dyDescent="0.25">
      <c r="A90" s="14" t="s">
        <v>207</v>
      </c>
      <c r="B90" s="15" t="s">
        <v>208</v>
      </c>
      <c r="D90" s="16" t="s">
        <v>107</v>
      </c>
      <c r="E90" s="17">
        <v>1899.55</v>
      </c>
      <c r="F90" s="17">
        <v>1899.55</v>
      </c>
      <c r="G90" s="17">
        <v>1899.55</v>
      </c>
      <c r="H90" s="17">
        <v>1899.55</v>
      </c>
      <c r="I90" s="17">
        <v>1899.55</v>
      </c>
      <c r="J90" s="17">
        <v>1899.55</v>
      </c>
      <c r="K90" s="17">
        <v>1899.55</v>
      </c>
      <c r="L90" s="17">
        <v>1899.55</v>
      </c>
      <c r="M90" s="17">
        <v>1899.54</v>
      </c>
      <c r="N90" s="17">
        <v>1899.54</v>
      </c>
      <c r="O90" s="17">
        <v>1899.54</v>
      </c>
      <c r="P90" s="17">
        <v>1899.54</v>
      </c>
      <c r="R90" s="18">
        <f>SUM(E90:P90)</f>
      </c>
      <c r="U90" s="20">
        <v>53535.88</v>
      </c>
      <c r="X90" s="21">
        <f>R90/$C$3</f>
      </c>
      <c r="Y90" s="21">
        <f>R90/$C$3/12</f>
      </c>
    </row>
    <row r="91" spans="1:25" s="15" customFormat="1" x14ac:dyDescent="0.25">
      <c r="A91" s="14" t="s">
        <v>209</v>
      </c>
      <c r="B91" s="15" t="s">
        <v>210</v>
      </c>
      <c r="D91" s="16" t="s">
        <v>45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R91" s="18">
        <f>SUM(E91:P91)</f>
      </c>
      <c r="X91" s="21">
        <f>R91/$C$3</f>
      </c>
      <c r="Y91" s="21">
        <f>R91/$C$3/12</f>
      </c>
    </row>
    <row r="92" spans="1:25" s="15" customFormat="1" x14ac:dyDescent="0.25">
      <c r="A92" s="14" t="s">
        <v>211</v>
      </c>
      <c r="B92" s="15" t="s">
        <v>212</v>
      </c>
      <c r="D92" s="16" t="s">
        <v>107</v>
      </c>
      <c r="E92" s="17">
        <v>890.3</v>
      </c>
      <c r="F92" s="17">
        <v>890.3</v>
      </c>
      <c r="G92" s="17">
        <v>890.3</v>
      </c>
      <c r="H92" s="17">
        <v>890.3</v>
      </c>
      <c r="I92" s="17">
        <v>890.3</v>
      </c>
      <c r="J92" s="17">
        <v>890.3</v>
      </c>
      <c r="K92" s="17">
        <v>890.3</v>
      </c>
      <c r="L92" s="17">
        <v>890.3</v>
      </c>
      <c r="M92" s="17">
        <v>890.3</v>
      </c>
      <c r="N92" s="17">
        <v>890.29</v>
      </c>
      <c r="O92" s="17">
        <v>890.29</v>
      </c>
      <c r="P92" s="17">
        <v>890.29</v>
      </c>
      <c r="R92" s="18">
        <f>SUM(E92:P92)</f>
      </c>
      <c r="U92" s="20">
        <v>25091.7</v>
      </c>
      <c r="X92" s="21">
        <f>R92/$C$3</f>
      </c>
      <c r="Y92" s="21">
        <f>R92/$C$3/12</f>
      </c>
    </row>
    <row r="93" spans="1:25" s="15" customFormat="1" x14ac:dyDescent="0.25">
      <c r="A93" s="14" t="s">
        <v>213</v>
      </c>
      <c r="B93" s="15" t="s">
        <v>214</v>
      </c>
      <c r="D93" s="16" t="s">
        <v>45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R93" s="18">
        <f>SUM(E93:P93)</f>
      </c>
      <c r="X93" s="21">
        <f>R93/$C$3</f>
      </c>
      <c r="Y93" s="21">
        <f>R93/$C$3/12</f>
      </c>
    </row>
    <row r="94" spans="1:25" s="13" customFormat="1" x14ac:dyDescent="0.25">
      <c r="A94" s="14" t="s">
        <v>215</v>
      </c>
      <c r="B94" s="13" t="s">
        <v>216</v>
      </c>
      <c r="E94" s="22">
        <f>SUM(E38:E93)</f>
      </c>
      <c r="F94" s="22">
        <f>SUM(F38:F93)</f>
      </c>
      <c r="G94" s="22">
        <f>SUM(G38:G93)</f>
      </c>
      <c r="H94" s="22">
        <f>SUM(H38:H93)</f>
      </c>
      <c r="I94" s="22">
        <f>SUM(I38:I93)</f>
      </c>
      <c r="J94" s="22">
        <f>SUM(J38:J93)</f>
      </c>
      <c r="K94" s="22">
        <f>SUM(K38:K93)</f>
      </c>
      <c r="L94" s="22">
        <f>SUM(L38:L93)</f>
      </c>
      <c r="M94" s="22">
        <f>SUM(M38:M93)</f>
      </c>
      <c r="N94" s="22">
        <f>SUM(N38:N93)</f>
      </c>
      <c r="O94" s="22">
        <f>SUM(O38:O93)</f>
      </c>
      <c r="P94" s="22">
        <f>SUM(P38:P93)</f>
      </c>
      <c r="R94" s="22">
        <f>SUM(E94:P94)</f>
      </c>
      <c r="T94" s="19">
        <v>354851.53</v>
      </c>
      <c r="X94" s="23">
        <f>R94/$C$3</f>
      </c>
      <c r="Y94" s="23">
        <f>R94/$C$3/12</f>
      </c>
    </row>
    <row r="95" spans="1:25" s="13" customFormat="1" x14ac:dyDescent="0.25">
      <c r="A95" s="14" t="s">
        <v>217</v>
      </c>
      <c r="B95" s="13" t="s">
        <v>218</v>
      </c>
      <c r="E95" s="24">
        <f>E36+E94</f>
      </c>
      <c r="F95" s="24">
        <f>F36+F94</f>
      </c>
      <c r="G95" s="24">
        <f>G36+G94</f>
      </c>
      <c r="H95" s="24">
        <f>H36+H94</f>
      </c>
      <c r="I95" s="24">
        <f>I36+I94</f>
      </c>
      <c r="J95" s="24">
        <f>J36+J94</f>
      </c>
      <c r="K95" s="24">
        <f>K36+K94</f>
      </c>
      <c r="L95" s="24">
        <f>L36+L94</f>
      </c>
      <c r="M95" s="24">
        <f>M36+M94</f>
      </c>
      <c r="N95" s="24">
        <f>N36+N94</f>
      </c>
      <c r="O95" s="24">
        <f>O36+O94</f>
      </c>
      <c r="P95" s="24">
        <f>P36+P94</f>
      </c>
      <c r="R95" s="24">
        <f>SUM(E95:P95)</f>
      </c>
      <c r="T95" s="19">
        <v>3316417.0261576124</v>
      </c>
      <c r="X95" s="23">
        <f>R95/$C$3</f>
      </c>
      <c r="Y95" s="23">
        <f>R95/$C$3/12</f>
      </c>
    </row>
    <row r="96" spans="1:2" s="13" customFormat="1" x14ac:dyDescent="0.25">
      <c r="A96" s="14" t="s">
        <v>219</v>
      </c>
      <c r="B96" s="13" t="s">
        <v>220</v>
      </c>
    </row>
    <row r="97" spans="1:2" s="13" customFormat="1" x14ac:dyDescent="0.25">
      <c r="A97" s="14" t="s">
        <v>221</v>
      </c>
      <c r="B97" s="13" t="s">
        <v>222</v>
      </c>
    </row>
    <row r="98" spans="1:2" s="13" customFormat="1" x14ac:dyDescent="0.25">
      <c r="A98" s="14" t="s">
        <v>223</v>
      </c>
      <c r="B98" s="13" t="s">
        <v>224</v>
      </c>
    </row>
    <row r="99" spans="1:25" s="15" customFormat="1" x14ac:dyDescent="0.25">
      <c r="A99" s="14" t="s">
        <v>225</v>
      </c>
      <c r="B99" s="15" t="s">
        <v>226</v>
      </c>
      <c r="D99" s="16" t="s">
        <v>227</v>
      </c>
      <c r="E99" s="17">
        <v>482.13</v>
      </c>
      <c r="F99" s="17"/>
      <c r="G99" s="17"/>
      <c r="H99" s="17">
        <v>482.13</v>
      </c>
      <c r="I99" s="17"/>
      <c r="J99" s="17"/>
      <c r="K99" s="17">
        <v>482.12</v>
      </c>
      <c r="L99" s="17">
        <v>581.25</v>
      </c>
      <c r="M99" s="17"/>
      <c r="N99" s="17">
        <v>482.12</v>
      </c>
      <c r="O99" s="17"/>
      <c r="P99" s="17"/>
      <c r="R99" s="18">
        <f>SUM(E99:P99)</f>
      </c>
      <c r="U99" s="20">
        <v>4250.53</v>
      </c>
      <c r="X99" s="21">
        <f>R99/$C$3</f>
      </c>
      <c r="Y99" s="21">
        <f>R99/$C$3/12</f>
      </c>
    </row>
    <row r="100" spans="1:25" s="15" customFormat="1" x14ac:dyDescent="0.25">
      <c r="A100" s="14" t="s">
        <v>228</v>
      </c>
      <c r="B100" s="15" t="s">
        <v>229</v>
      </c>
      <c r="D100" s="16" t="s">
        <v>227</v>
      </c>
      <c r="E100" s="17">
        <v>54.52</v>
      </c>
      <c r="F100" s="17">
        <v>257.27</v>
      </c>
      <c r="G100" s="17">
        <v>54.52</v>
      </c>
      <c r="H100" s="17">
        <v>54.51</v>
      </c>
      <c r="I100" s="17">
        <v>54.51</v>
      </c>
      <c r="J100" s="17">
        <v>54.51</v>
      </c>
      <c r="K100" s="17">
        <v>54.51</v>
      </c>
      <c r="L100" s="17">
        <v>54.51</v>
      </c>
      <c r="M100" s="17">
        <v>54.51</v>
      </c>
      <c r="N100" s="17">
        <v>54.51</v>
      </c>
      <c r="O100" s="17">
        <v>54.51</v>
      </c>
      <c r="P100" s="17">
        <v>54.51</v>
      </c>
      <c r="R100" s="18">
        <f>SUM(E100:P100)</f>
      </c>
      <c r="U100" s="20">
        <v>1451.23</v>
      </c>
      <c r="X100" s="21">
        <f>R100/$C$3</f>
      </c>
      <c r="Y100" s="21">
        <f>R100/$C$3/12</f>
      </c>
    </row>
    <row r="101" spans="1:25" s="15" customFormat="1" x14ac:dyDescent="0.25">
      <c r="A101" s="14" t="s">
        <v>230</v>
      </c>
      <c r="B101" s="15" t="s">
        <v>231</v>
      </c>
      <c r="D101" s="16" t="s">
        <v>232</v>
      </c>
      <c r="E101" s="17">
        <v>3871.25</v>
      </c>
      <c r="F101" s="17">
        <v>3871.25</v>
      </c>
      <c r="G101" s="17">
        <v>3871.25</v>
      </c>
      <c r="H101" s="17">
        <v>3871.25</v>
      </c>
      <c r="I101" s="17">
        <v>3871.25</v>
      </c>
      <c r="J101" s="17">
        <v>3871.25</v>
      </c>
      <c r="K101" s="17">
        <v>3871.25</v>
      </c>
      <c r="L101" s="17">
        <v>3871.25</v>
      </c>
      <c r="M101" s="17">
        <v>3871.25</v>
      </c>
      <c r="N101" s="17">
        <v>3871.25</v>
      </c>
      <c r="O101" s="17">
        <v>3871.25</v>
      </c>
      <c r="P101" s="17">
        <v>3871.25</v>
      </c>
      <c r="R101" s="18">
        <f>SUM(E101:P101)</f>
      </c>
      <c r="T101" s="19">
        <v>46455</v>
      </c>
      <c r="U101" s="20">
        <v>46455</v>
      </c>
      <c r="X101" s="21">
        <f>R101/$C$3</f>
      </c>
      <c r="Y101" s="21">
        <f>R101/$C$3/12</f>
      </c>
    </row>
    <row r="102" spans="1:25" s="15" customFormat="1" x14ac:dyDescent="0.25">
      <c r="A102" s="14" t="s">
        <v>233</v>
      </c>
      <c r="B102" s="15" t="s">
        <v>234</v>
      </c>
      <c r="D102" s="16" t="s">
        <v>45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R102" s="18">
        <f>SUM(E102:P102)</f>
      </c>
      <c r="X102" s="21">
        <f>R102/$C$3</f>
      </c>
      <c r="Y102" s="21">
        <f>R102/$C$3/12</f>
      </c>
    </row>
    <row r="103" spans="1:25" s="15" customFormat="1" x14ac:dyDescent="0.25">
      <c r="A103" s="14" t="s">
        <v>235</v>
      </c>
      <c r="B103" s="15" t="s">
        <v>236</v>
      </c>
      <c r="D103" s="16" t="s">
        <v>237</v>
      </c>
      <c r="E103" s="17">
        <v>7943.25</v>
      </c>
      <c r="F103" s="17">
        <v>7994.35</v>
      </c>
      <c r="G103" s="17">
        <v>8047.26</v>
      </c>
      <c r="H103" s="17">
        <v>8057.79</v>
      </c>
      <c r="I103" s="17">
        <v>8099.89</v>
      </c>
      <c r="J103" s="17">
        <v>8137</v>
      </c>
      <c r="K103" s="17">
        <v>8228.32</v>
      </c>
      <c r="L103" s="17">
        <v>8361.23</v>
      </c>
      <c r="M103" s="17">
        <v>8391.61</v>
      </c>
      <c r="N103" s="17">
        <v>8415.06</v>
      </c>
      <c r="O103" s="17">
        <v>8491.89</v>
      </c>
      <c r="P103" s="17">
        <v>8535.3</v>
      </c>
      <c r="R103" s="18">
        <f>SUM(E103:P103)</f>
      </c>
      <c r="T103" s="19">
        <v>99492.51078472837</v>
      </c>
      <c r="U103" s="20">
        <v>119932.52</v>
      </c>
      <c r="X103" s="21">
        <f>R103/$C$3</f>
      </c>
      <c r="Y103" s="21">
        <f>R103/$C$3/12</f>
      </c>
    </row>
    <row r="104" spans="1:25" s="15" customFormat="1" x14ac:dyDescent="0.25">
      <c r="A104" s="14" t="s">
        <v>238</v>
      </c>
      <c r="B104" s="15" t="s">
        <v>239</v>
      </c>
      <c r="D104" s="16" t="s">
        <v>45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R104" s="18">
        <f>SUM(E104:P104)</f>
      </c>
      <c r="X104" s="21">
        <f>R104/$C$3</f>
      </c>
      <c r="Y104" s="21">
        <f>R104/$C$3/12</f>
      </c>
    </row>
    <row r="105" spans="1:25" s="15" customFormat="1" x14ac:dyDescent="0.25">
      <c r="A105" s="14" t="s">
        <v>240</v>
      </c>
      <c r="B105" s="15" t="s">
        <v>241</v>
      </c>
      <c r="D105" s="16" t="s">
        <v>45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R105" s="18">
        <f>SUM(E105:P105)</f>
      </c>
      <c r="X105" s="21">
        <f>R105/$C$3</f>
      </c>
      <c r="Y105" s="21">
        <f>R105/$C$3/12</f>
      </c>
    </row>
    <row r="106" spans="1:25" s="15" customFormat="1" x14ac:dyDescent="0.25">
      <c r="A106" s="14" t="s">
        <v>242</v>
      </c>
      <c r="B106" s="15" t="s">
        <v>243</v>
      </c>
      <c r="D106" s="16" t="s">
        <v>244</v>
      </c>
      <c r="E106" s="17">
        <v>26477.09</v>
      </c>
      <c r="F106" s="17">
        <v>26477.08</v>
      </c>
      <c r="G106" s="17">
        <v>26477.08</v>
      </c>
      <c r="H106" s="17">
        <v>26477.11</v>
      </c>
      <c r="I106" s="17">
        <v>26477.08</v>
      </c>
      <c r="J106" s="17">
        <v>26477.08</v>
      </c>
      <c r="K106" s="17">
        <v>26477.08</v>
      </c>
      <c r="L106" s="17">
        <v>26477.08</v>
      </c>
      <c r="M106" s="17">
        <v>26477.08</v>
      </c>
      <c r="N106" s="17">
        <v>26477.08</v>
      </c>
      <c r="O106" s="17">
        <v>26477.08</v>
      </c>
      <c r="P106" s="17">
        <v>26477.08</v>
      </c>
      <c r="R106" s="18">
        <f>SUM(E106:P106)</f>
      </c>
      <c r="T106" s="19">
        <v>317725</v>
      </c>
      <c r="U106" s="20">
        <v>266086.24</v>
      </c>
      <c r="X106" s="21">
        <f>R106/$C$3</f>
      </c>
      <c r="Y106" s="21">
        <f>R106/$C$3/12</f>
      </c>
    </row>
    <row r="107" spans="1:25" s="15" customFormat="1" x14ac:dyDescent="0.25">
      <c r="A107" s="14" t="s">
        <v>245</v>
      </c>
      <c r="B107" s="15" t="s">
        <v>246</v>
      </c>
      <c r="D107" s="16" t="s">
        <v>45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R107" s="18">
        <f>SUM(E107:P107)</f>
      </c>
      <c r="X107" s="21">
        <f>R107/$C$3</f>
      </c>
      <c r="Y107" s="21">
        <f>R107/$C$3/12</f>
      </c>
    </row>
    <row r="108" spans="1:25" s="15" customFormat="1" x14ac:dyDescent="0.25">
      <c r="A108" s="14" t="s">
        <v>247</v>
      </c>
      <c r="B108" s="15" t="s">
        <v>248</v>
      </c>
      <c r="D108" s="16" t="s">
        <v>45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R108" s="18">
        <f>SUM(E108:P108)</f>
      </c>
      <c r="X108" s="21">
        <f>R108/$C$3</f>
      </c>
      <c r="Y108" s="21">
        <f>R108/$C$3/12</f>
      </c>
    </row>
    <row r="109" spans="1:25" s="15" customFormat="1" x14ac:dyDescent="0.25">
      <c r="A109" s="14" t="s">
        <v>249</v>
      </c>
      <c r="B109" s="15" t="s">
        <v>250</v>
      </c>
      <c r="D109" s="16" t="s">
        <v>45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R109" s="18">
        <f>SUM(E109:P109)</f>
      </c>
      <c r="X109" s="21">
        <f>R109/$C$3</f>
      </c>
      <c r="Y109" s="21">
        <f>R109/$C$3/12</f>
      </c>
    </row>
    <row r="110" spans="1:25" s="15" customFormat="1" x14ac:dyDescent="0.25">
      <c r="A110" s="14" t="s">
        <v>251</v>
      </c>
      <c r="B110" s="15" t="s">
        <v>252</v>
      </c>
      <c r="D110" s="16" t="s">
        <v>45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R110" s="18">
        <f>SUM(E110:P110)</f>
      </c>
      <c r="X110" s="21">
        <f>R110/$C$3</f>
      </c>
      <c r="Y110" s="21">
        <f>R110/$C$3/12</f>
      </c>
    </row>
    <row r="111" spans="1:25" s="13" customFormat="1" x14ac:dyDescent="0.25">
      <c r="A111" s="14" t="s">
        <v>253</v>
      </c>
      <c r="B111" s="13" t="s">
        <v>254</v>
      </c>
      <c r="E111" s="22">
        <f>SUM(E99:E110)</f>
      </c>
      <c r="F111" s="22">
        <f>SUM(F99:F110)</f>
      </c>
      <c r="G111" s="22">
        <f>SUM(G99:G110)</f>
      </c>
      <c r="H111" s="22">
        <f>SUM(H99:H110)</f>
      </c>
      <c r="I111" s="22">
        <f>SUM(I99:I110)</f>
      </c>
      <c r="J111" s="22">
        <f>SUM(J99:J110)</f>
      </c>
      <c r="K111" s="22">
        <f>SUM(K99:K110)</f>
      </c>
      <c r="L111" s="22">
        <f>SUM(L99:L110)</f>
      </c>
      <c r="M111" s="22">
        <f>SUM(M99:M110)</f>
      </c>
      <c r="N111" s="22">
        <f>SUM(N99:N110)</f>
      </c>
      <c r="O111" s="22">
        <f>SUM(O99:O110)</f>
      </c>
      <c r="P111" s="22">
        <f>SUM(P99:P110)</f>
      </c>
      <c r="R111" s="22">
        <f>SUM(E111:P111)</f>
      </c>
      <c r="T111" s="19">
        <v>56633.7</v>
      </c>
      <c r="X111" s="23">
        <f>R111/$C$3</f>
      </c>
      <c r="Y111" s="23">
        <f>R111/$C$3/12</f>
      </c>
    </row>
    <row r="112" spans="1:2" s="13" customFormat="1" x14ac:dyDescent="0.25">
      <c r="A112" s="14" t="s">
        <v>255</v>
      </c>
      <c r="B112" s="13" t="s">
        <v>256</v>
      </c>
    </row>
    <row r="113" spans="1:25" s="15" customFormat="1" x14ac:dyDescent="0.25">
      <c r="A113" s="14" t="s">
        <v>257</v>
      </c>
      <c r="B113" s="15" t="s">
        <v>258</v>
      </c>
      <c r="D113" s="16" t="s">
        <v>45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R113" s="18">
        <f>SUM(E113:P113)</f>
      </c>
      <c r="X113" s="21">
        <f>R113/$C$3</f>
      </c>
      <c r="Y113" s="21">
        <f>R113/$C$3/12</f>
      </c>
    </row>
    <row r="114" spans="1:25" s="15" customFormat="1" x14ac:dyDescent="0.25">
      <c r="A114" s="14" t="s">
        <v>259</v>
      </c>
      <c r="B114" s="15" t="s">
        <v>260</v>
      </c>
      <c r="D114" s="16" t="s">
        <v>227</v>
      </c>
      <c r="E114" s="17">
        <v>54.75</v>
      </c>
      <c r="F114" s="17">
        <v>54.75</v>
      </c>
      <c r="G114" s="17">
        <v>54.75</v>
      </c>
      <c r="H114" s="17">
        <v>54.75</v>
      </c>
      <c r="I114" s="17">
        <v>54.75</v>
      </c>
      <c r="J114" s="17">
        <v>54.75</v>
      </c>
      <c r="K114" s="17">
        <v>54.75</v>
      </c>
      <c r="L114" s="17">
        <v>54.75</v>
      </c>
      <c r="M114" s="17">
        <v>54.75</v>
      </c>
      <c r="N114" s="17">
        <v>54.75</v>
      </c>
      <c r="O114" s="17">
        <v>54.74</v>
      </c>
      <c r="P114" s="17">
        <v>54.74</v>
      </c>
      <c r="R114" s="18">
        <f>SUM(E114:P114)</f>
      </c>
      <c r="U114" s="20">
        <v>1112.61</v>
      </c>
      <c r="X114" s="21">
        <f>R114/$C$3</f>
      </c>
      <c r="Y114" s="21">
        <f>R114/$C$3/12</f>
      </c>
    </row>
    <row r="115" spans="1:25" s="15" customFormat="1" x14ac:dyDescent="0.25">
      <c r="A115" s="14" t="s">
        <v>261</v>
      </c>
      <c r="B115" s="15" t="s">
        <v>262</v>
      </c>
      <c r="D115" s="16" t="s">
        <v>227</v>
      </c>
      <c r="E115" s="17">
        <v>64.88</v>
      </c>
      <c r="F115" s="17">
        <v>64.88</v>
      </c>
      <c r="G115" s="17">
        <v>64.88</v>
      </c>
      <c r="H115" s="17">
        <v>64.88</v>
      </c>
      <c r="I115" s="17">
        <v>64.88</v>
      </c>
      <c r="J115" s="17">
        <v>64.88</v>
      </c>
      <c r="K115" s="17">
        <v>64.88</v>
      </c>
      <c r="L115" s="17">
        <v>64.88</v>
      </c>
      <c r="M115" s="17">
        <v>64.88</v>
      </c>
      <c r="N115" s="17">
        <v>64.88</v>
      </c>
      <c r="O115" s="17">
        <v>64.88</v>
      </c>
      <c r="P115" s="17">
        <v>64.88</v>
      </c>
      <c r="R115" s="18">
        <f>SUM(E115:P115)</f>
      </c>
      <c r="U115" s="20">
        <v>1318.65</v>
      </c>
      <c r="X115" s="21">
        <f>R115/$C$3</f>
      </c>
      <c r="Y115" s="21">
        <f>R115/$C$3/12</f>
      </c>
    </row>
    <row r="116" spans="1:25" s="15" customFormat="1" x14ac:dyDescent="0.25">
      <c r="A116" s="14" t="s">
        <v>263</v>
      </c>
      <c r="B116" s="15" t="s">
        <v>264</v>
      </c>
      <c r="D116" s="16" t="s">
        <v>227</v>
      </c>
      <c r="E116" s="17">
        <v>110.78</v>
      </c>
      <c r="F116" s="17">
        <v>110.78</v>
      </c>
      <c r="G116" s="17">
        <v>110.78</v>
      </c>
      <c r="H116" s="17">
        <v>110.78</v>
      </c>
      <c r="I116" s="17">
        <v>110.78</v>
      </c>
      <c r="J116" s="17">
        <v>110.78</v>
      </c>
      <c r="K116" s="17">
        <v>110.78</v>
      </c>
      <c r="L116" s="17">
        <v>110.78</v>
      </c>
      <c r="M116" s="17">
        <v>110.78</v>
      </c>
      <c r="N116" s="17">
        <v>110.78</v>
      </c>
      <c r="O116" s="17">
        <v>110.77</v>
      </c>
      <c r="P116" s="17">
        <v>110.77</v>
      </c>
      <c r="R116" s="18">
        <f>SUM(E116:P116)</f>
      </c>
      <c r="U116" s="20">
        <v>2251.41</v>
      </c>
      <c r="X116" s="21">
        <f>R116/$C$3</f>
      </c>
      <c r="Y116" s="21">
        <f>R116/$C$3/12</f>
      </c>
    </row>
    <row r="117" spans="1:25" s="15" customFormat="1" x14ac:dyDescent="0.25">
      <c r="A117" s="14" t="s">
        <v>265</v>
      </c>
      <c r="B117" s="15" t="s">
        <v>266</v>
      </c>
      <c r="D117" s="16" t="s">
        <v>227</v>
      </c>
      <c r="E117" s="17">
        <v>83.08</v>
      </c>
      <c r="F117" s="17">
        <v>83.07</v>
      </c>
      <c r="G117" s="17">
        <v>83.07</v>
      </c>
      <c r="H117" s="17">
        <v>83.07</v>
      </c>
      <c r="I117" s="17">
        <v>83.07</v>
      </c>
      <c r="J117" s="17">
        <v>83.07</v>
      </c>
      <c r="K117" s="17">
        <v>83.07</v>
      </c>
      <c r="L117" s="17">
        <v>83.07</v>
      </c>
      <c r="M117" s="17">
        <v>83.07</v>
      </c>
      <c r="N117" s="17">
        <v>83.07</v>
      </c>
      <c r="O117" s="17">
        <v>83.07</v>
      </c>
      <c r="P117" s="17">
        <v>83.07</v>
      </c>
      <c r="R117" s="18">
        <f>SUM(E117:P117)</f>
      </c>
      <c r="U117" s="20">
        <v>1688.34</v>
      </c>
      <c r="X117" s="21">
        <f>R117/$C$3</f>
      </c>
      <c r="Y117" s="21">
        <f>R117/$C$3/12</f>
      </c>
    </row>
    <row r="118" spans="1:25" s="15" customFormat="1" x14ac:dyDescent="0.25">
      <c r="A118" s="14" t="s">
        <v>267</v>
      </c>
      <c r="B118" s="15" t="s">
        <v>268</v>
      </c>
      <c r="D118" s="16" t="s">
        <v>227</v>
      </c>
      <c r="E118" s="17">
        <v>554.44</v>
      </c>
      <c r="F118" s="17">
        <v>554.44</v>
      </c>
      <c r="G118" s="17">
        <v>554.44</v>
      </c>
      <c r="H118" s="17">
        <v>554.44</v>
      </c>
      <c r="I118" s="17">
        <v>554.44</v>
      </c>
      <c r="J118" s="17">
        <v>554.44</v>
      </c>
      <c r="K118" s="17">
        <v>554.44</v>
      </c>
      <c r="L118" s="17">
        <v>554.44</v>
      </c>
      <c r="M118" s="17">
        <v>554.44</v>
      </c>
      <c r="N118" s="17">
        <v>554.44</v>
      </c>
      <c r="O118" s="17">
        <v>554.44</v>
      </c>
      <c r="P118" s="17">
        <v>554.44</v>
      </c>
      <c r="R118" s="18">
        <f>SUM(E118:P118)</f>
      </c>
      <c r="U118" s="20">
        <v>11268.02</v>
      </c>
      <c r="X118" s="21">
        <f>R118/$C$3</f>
      </c>
      <c r="Y118" s="21">
        <f>R118/$C$3/12</f>
      </c>
    </row>
    <row r="119" spans="1:25" s="15" customFormat="1" x14ac:dyDescent="0.25">
      <c r="A119" s="14" t="s">
        <v>269</v>
      </c>
      <c r="B119" s="15" t="s">
        <v>270</v>
      </c>
      <c r="D119" s="16" t="s">
        <v>227</v>
      </c>
      <c r="E119" s="17">
        <v>663.03</v>
      </c>
      <c r="F119" s="17">
        <v>669.79</v>
      </c>
      <c r="G119" s="17">
        <v>676.55</v>
      </c>
      <c r="H119" s="17">
        <v>683.31</v>
      </c>
      <c r="I119" s="17">
        <v>663.03</v>
      </c>
      <c r="J119" s="17">
        <v>615.72</v>
      </c>
      <c r="K119" s="17">
        <v>656.27</v>
      </c>
      <c r="L119" s="17">
        <v>676.55</v>
      </c>
      <c r="M119" s="17">
        <v>696.83</v>
      </c>
      <c r="N119" s="17">
        <v>622.48</v>
      </c>
      <c r="O119" s="17">
        <v>656.27</v>
      </c>
      <c r="P119" s="17">
        <v>642.75</v>
      </c>
      <c r="R119" s="18">
        <f>SUM(E119:P119)</f>
      </c>
      <c r="U119" s="20">
        <v>13417.74</v>
      </c>
      <c r="X119" s="21">
        <f>R119/$C$3</f>
      </c>
      <c r="Y119" s="21">
        <f>R119/$C$3/12</f>
      </c>
    </row>
    <row r="120" spans="1:25" s="15" customFormat="1" x14ac:dyDescent="0.25">
      <c r="A120" s="14" t="s">
        <v>271</v>
      </c>
      <c r="B120" s="15" t="s">
        <v>272</v>
      </c>
      <c r="D120" s="16" t="s">
        <v>227</v>
      </c>
      <c r="E120" s="17">
        <v>123.68</v>
      </c>
      <c r="F120" s="17">
        <v>137.2</v>
      </c>
      <c r="G120" s="17">
        <v>143.97</v>
      </c>
      <c r="H120" s="17">
        <v>103.41</v>
      </c>
      <c r="I120" s="17">
        <v>96.65</v>
      </c>
      <c r="J120" s="17">
        <v>110.17</v>
      </c>
      <c r="K120" s="17">
        <v>110.17</v>
      </c>
      <c r="L120" s="17">
        <v>130.44</v>
      </c>
      <c r="M120" s="17">
        <v>218.31</v>
      </c>
      <c r="N120" s="17">
        <v>184.52</v>
      </c>
      <c r="O120" s="17">
        <v>123.68</v>
      </c>
      <c r="P120" s="17">
        <v>130.44</v>
      </c>
      <c r="R120" s="18">
        <f>SUM(E120:P120)</f>
      </c>
      <c r="U120" s="20">
        <v>2731.17</v>
      </c>
      <c r="X120" s="21">
        <f>R120/$C$3</f>
      </c>
      <c r="Y120" s="21">
        <f>R120/$C$3/12</f>
      </c>
    </row>
    <row r="121" spans="1:25" s="15" customFormat="1" x14ac:dyDescent="0.25">
      <c r="A121" s="14" t="s">
        <v>273</v>
      </c>
      <c r="B121" s="15" t="s">
        <v>274</v>
      </c>
      <c r="D121" s="16" t="s">
        <v>45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R121" s="18">
        <f>SUM(E121:P121)</f>
      </c>
      <c r="X121" s="21">
        <f>R121/$C$3</f>
      </c>
      <c r="Y121" s="21">
        <f>R121/$C$3/12</f>
      </c>
    </row>
    <row r="122" spans="1:25" s="15" customFormat="1" x14ac:dyDescent="0.25">
      <c r="A122" s="14" t="s">
        <v>275</v>
      </c>
      <c r="B122" s="15" t="s">
        <v>276</v>
      </c>
      <c r="D122" s="16" t="s">
        <v>227</v>
      </c>
      <c r="E122" s="17"/>
      <c r="F122" s="17"/>
      <c r="G122" s="17">
        <v>23.65</v>
      </c>
      <c r="H122" s="17"/>
      <c r="I122" s="17"/>
      <c r="J122" s="17"/>
      <c r="K122" s="17"/>
      <c r="L122" s="17"/>
      <c r="M122" s="17"/>
      <c r="N122" s="17"/>
      <c r="O122" s="17"/>
      <c r="P122" s="17"/>
      <c r="R122" s="18">
        <f>SUM(E122:P122)</f>
      </c>
      <c r="U122" s="20">
        <v>40.06</v>
      </c>
      <c r="X122" s="21">
        <f>R122/$C$3</f>
      </c>
      <c r="Y122" s="21">
        <f>R122/$C$3/12</f>
      </c>
    </row>
    <row r="123" spans="1:25" s="15" customFormat="1" x14ac:dyDescent="0.25">
      <c r="A123" s="14" t="s">
        <v>277</v>
      </c>
      <c r="B123" s="15" t="s">
        <v>278</v>
      </c>
      <c r="D123" s="16" t="s">
        <v>227</v>
      </c>
      <c r="E123" s="17">
        <v>28.49</v>
      </c>
      <c r="F123" s="17">
        <v>28.49</v>
      </c>
      <c r="G123" s="17">
        <v>28.49</v>
      </c>
      <c r="H123" s="17">
        <v>28.49</v>
      </c>
      <c r="I123" s="17">
        <v>28.49</v>
      </c>
      <c r="J123" s="17">
        <v>28.49</v>
      </c>
      <c r="K123" s="17">
        <v>28.49</v>
      </c>
      <c r="L123" s="17">
        <v>28.48</v>
      </c>
      <c r="M123" s="17">
        <v>28.48</v>
      </c>
      <c r="N123" s="17">
        <v>28.48</v>
      </c>
      <c r="O123" s="17">
        <v>28.48</v>
      </c>
      <c r="P123" s="17">
        <v>28.48</v>
      </c>
      <c r="R123" s="18">
        <f>SUM(E123:P123)</f>
      </c>
      <c r="U123" s="20">
        <v>578.86</v>
      </c>
      <c r="X123" s="21">
        <f>R123/$C$3</f>
      </c>
      <c r="Y123" s="21">
        <f>R123/$C$3/12</f>
      </c>
    </row>
    <row r="124" spans="1:25" s="15" customFormat="1" x14ac:dyDescent="0.25">
      <c r="A124" s="14" t="s">
        <v>279</v>
      </c>
      <c r="B124" s="15" t="s">
        <v>280</v>
      </c>
      <c r="D124" s="16" t="s">
        <v>227</v>
      </c>
      <c r="E124" s="17">
        <v>40.55</v>
      </c>
      <c r="F124" s="17">
        <v>54.07</v>
      </c>
      <c r="G124" s="17">
        <v>6.76</v>
      </c>
      <c r="H124" s="17">
        <v>6.76</v>
      </c>
      <c r="I124" s="17">
        <v>6.76</v>
      </c>
      <c r="J124" s="17">
        <v>6.76</v>
      </c>
      <c r="K124" s="17">
        <v>6.76</v>
      </c>
      <c r="L124" s="17">
        <v>6.76</v>
      </c>
      <c r="M124" s="17">
        <v>6.76</v>
      </c>
      <c r="N124" s="17">
        <v>6.76</v>
      </c>
      <c r="O124" s="17">
        <v>6.76</v>
      </c>
      <c r="P124" s="17">
        <v>6.76</v>
      </c>
      <c r="R124" s="18">
        <f>SUM(E124:P124)</f>
      </c>
      <c r="U124" s="20">
        <v>274.72</v>
      </c>
      <c r="X124" s="21">
        <f>R124/$C$3</f>
      </c>
      <c r="Y124" s="21">
        <f>R124/$C$3/12</f>
      </c>
    </row>
    <row r="125" spans="1:25" s="15" customFormat="1" x14ac:dyDescent="0.25">
      <c r="A125" s="14" t="s">
        <v>281</v>
      </c>
      <c r="B125" s="15" t="s">
        <v>282</v>
      </c>
      <c r="D125" s="16" t="s">
        <v>227</v>
      </c>
      <c r="E125" s="17">
        <v>71.64</v>
      </c>
      <c r="F125" s="17">
        <v>71.64</v>
      </c>
      <c r="G125" s="17">
        <v>1307.81</v>
      </c>
      <c r="H125" s="17">
        <v>756.3</v>
      </c>
      <c r="I125" s="17">
        <v>71.64</v>
      </c>
      <c r="J125" s="17">
        <v>71.64</v>
      </c>
      <c r="K125" s="17">
        <v>71.64</v>
      </c>
      <c r="L125" s="17">
        <v>71.64</v>
      </c>
      <c r="M125" s="17">
        <v>71.64</v>
      </c>
      <c r="N125" s="17">
        <v>71.64</v>
      </c>
      <c r="O125" s="17">
        <v>1004.34</v>
      </c>
      <c r="P125" s="17">
        <v>71.64</v>
      </c>
      <c r="R125" s="18">
        <f>SUM(E125:P125)</f>
      </c>
      <c r="U125" s="20">
        <v>6288.78</v>
      </c>
      <c r="X125" s="21">
        <f>R125/$C$3</f>
      </c>
      <c r="Y125" s="21">
        <f>R125/$C$3/12</f>
      </c>
    </row>
    <row r="126" spans="1:25" s="15" customFormat="1" x14ac:dyDescent="0.25">
      <c r="A126" s="14" t="s">
        <v>283</v>
      </c>
      <c r="B126" s="15" t="s">
        <v>284</v>
      </c>
      <c r="D126" s="16" t="s">
        <v>45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R126" s="18">
        <f>SUM(E126:P126)</f>
      </c>
      <c r="X126" s="21">
        <f>R126/$C$3</f>
      </c>
      <c r="Y126" s="21">
        <f>R126/$C$3/12</f>
      </c>
    </row>
    <row r="127" spans="1:25" s="15" customFormat="1" x14ac:dyDescent="0.25">
      <c r="A127" s="14" t="s">
        <v>285</v>
      </c>
      <c r="B127" s="15" t="s">
        <v>286</v>
      </c>
      <c r="D127" s="16" t="s">
        <v>227</v>
      </c>
      <c r="E127" s="17">
        <v>79.06</v>
      </c>
      <c r="F127" s="17">
        <v>79.06</v>
      </c>
      <c r="G127" s="17">
        <v>79.06</v>
      </c>
      <c r="H127" s="17">
        <v>79.06</v>
      </c>
      <c r="I127" s="17">
        <v>79.06</v>
      </c>
      <c r="J127" s="17">
        <v>79.06</v>
      </c>
      <c r="K127" s="17">
        <v>79.06</v>
      </c>
      <c r="L127" s="17">
        <v>79.05</v>
      </c>
      <c r="M127" s="17">
        <v>79.05</v>
      </c>
      <c r="N127" s="17">
        <v>79.05</v>
      </c>
      <c r="O127" s="17">
        <v>79.05</v>
      </c>
      <c r="P127" s="17">
        <v>79.05</v>
      </c>
      <c r="R127" s="18">
        <f>SUM(E127:P127)</f>
      </c>
      <c r="U127" s="20">
        <v>1606.72</v>
      </c>
      <c r="X127" s="21">
        <f>R127/$C$3</f>
      </c>
      <c r="Y127" s="21">
        <f>R127/$C$3/12</f>
      </c>
    </row>
    <row r="128" spans="1:25" s="15" customFormat="1" x14ac:dyDescent="0.25">
      <c r="A128" s="14" t="s">
        <v>287</v>
      </c>
      <c r="B128" s="15" t="s">
        <v>288</v>
      </c>
      <c r="D128" s="16" t="s">
        <v>227</v>
      </c>
      <c r="E128" s="17">
        <v>23.21</v>
      </c>
      <c r="F128" s="17">
        <v>23.21</v>
      </c>
      <c r="G128" s="17">
        <v>23.21</v>
      </c>
      <c r="H128" s="17">
        <v>23.2</v>
      </c>
      <c r="I128" s="17">
        <v>23.21</v>
      </c>
      <c r="J128" s="17">
        <v>23.21</v>
      </c>
      <c r="K128" s="17">
        <v>23.21</v>
      </c>
      <c r="L128" s="17">
        <v>23.21</v>
      </c>
      <c r="M128" s="17">
        <v>23.21</v>
      </c>
      <c r="N128" s="17">
        <v>23.21</v>
      </c>
      <c r="O128" s="17">
        <v>23.21</v>
      </c>
      <c r="P128" s="17">
        <v>23.21</v>
      </c>
      <c r="R128" s="18">
        <f>SUM(E128:P128)</f>
      </c>
      <c r="U128" s="20">
        <v>471.6</v>
      </c>
      <c r="X128" s="21">
        <f>R128/$C$3</f>
      </c>
      <c r="Y128" s="21">
        <f>R128/$C$3/12</f>
      </c>
    </row>
    <row r="129" spans="1:25" s="15" customFormat="1" x14ac:dyDescent="0.25">
      <c r="A129" s="14" t="s">
        <v>289</v>
      </c>
      <c r="B129" s="15" t="s">
        <v>290</v>
      </c>
      <c r="D129" s="16" t="s">
        <v>227</v>
      </c>
      <c r="E129" s="17"/>
      <c r="F129" s="17"/>
      <c r="G129" s="17"/>
      <c r="H129" s="17">
        <v>14.87</v>
      </c>
      <c r="I129" s="17"/>
      <c r="J129" s="17"/>
      <c r="K129" s="17"/>
      <c r="L129" s="17"/>
      <c r="M129" s="17">
        <v>14.87</v>
      </c>
      <c r="N129" s="17"/>
      <c r="O129" s="17"/>
      <c r="P129" s="17"/>
      <c r="R129" s="18">
        <f>SUM(E129:P129)</f>
      </c>
      <c r="U129" s="20">
        <v>50.37</v>
      </c>
      <c r="X129" s="21">
        <f>R129/$C$3</f>
      </c>
      <c r="Y129" s="21">
        <f>R129/$C$3/12</f>
      </c>
    </row>
    <row r="130" spans="1:25" s="15" customFormat="1" x14ac:dyDescent="0.25">
      <c r="A130" s="14" t="s">
        <v>291</v>
      </c>
      <c r="B130" s="15" t="s">
        <v>292</v>
      </c>
      <c r="D130" s="16" t="s">
        <v>45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R130" s="18">
        <f>SUM(E130:P130)</f>
      </c>
      <c r="X130" s="21">
        <f>R130/$C$3</f>
      </c>
      <c r="Y130" s="21">
        <f>R130/$C$3/12</f>
      </c>
    </row>
    <row r="131" spans="1:25" s="15" customFormat="1" x14ac:dyDescent="0.25">
      <c r="A131" s="14" t="s">
        <v>293</v>
      </c>
      <c r="B131" s="15" t="s">
        <v>294</v>
      </c>
      <c r="D131" s="16" t="s">
        <v>45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R131" s="18">
        <f>SUM(E131:P131)</f>
      </c>
      <c r="X131" s="21">
        <f>R131/$C$3</f>
      </c>
      <c r="Y131" s="21">
        <f>R131/$C$3/12</f>
      </c>
    </row>
    <row r="132" spans="1:25" s="15" customFormat="1" x14ac:dyDescent="0.25">
      <c r="A132" s="14" t="s">
        <v>295</v>
      </c>
      <c r="B132" s="15" t="s">
        <v>296</v>
      </c>
      <c r="D132" s="16" t="s">
        <v>45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R132" s="18">
        <f>SUM(E132:P132)</f>
      </c>
      <c r="X132" s="21">
        <f>R132/$C$3</f>
      </c>
      <c r="Y132" s="21">
        <f>R132/$C$3/12</f>
      </c>
    </row>
    <row r="133" spans="1:25" s="15" customFormat="1" x14ac:dyDescent="0.25">
      <c r="A133" s="14" t="s">
        <v>297</v>
      </c>
      <c r="B133" s="15" t="s">
        <v>298</v>
      </c>
      <c r="D133" s="16" t="s">
        <v>45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R133" s="18">
        <f>SUM(E133:P133)</f>
      </c>
      <c r="X133" s="21">
        <f>R133/$C$3</f>
      </c>
      <c r="Y133" s="21">
        <f>R133/$C$3/12</f>
      </c>
    </row>
    <row r="134" spans="1:25" s="15" customFormat="1" x14ac:dyDescent="0.25">
      <c r="A134" s="14" t="s">
        <v>299</v>
      </c>
      <c r="B134" s="15" t="s">
        <v>300</v>
      </c>
      <c r="D134" s="16" t="s">
        <v>227</v>
      </c>
      <c r="E134" s="17">
        <v>39.61</v>
      </c>
      <c r="F134" s="17">
        <v>39.61</v>
      </c>
      <c r="G134" s="17">
        <v>39.61</v>
      </c>
      <c r="H134" s="17">
        <v>39.61</v>
      </c>
      <c r="I134" s="17">
        <v>39.6</v>
      </c>
      <c r="J134" s="17">
        <v>39.6</v>
      </c>
      <c r="K134" s="17">
        <v>39.6</v>
      </c>
      <c r="L134" s="17">
        <v>39.6</v>
      </c>
      <c r="M134" s="17">
        <v>39.6</v>
      </c>
      <c r="N134" s="17">
        <v>39.6</v>
      </c>
      <c r="O134" s="17">
        <v>39.6</v>
      </c>
      <c r="P134" s="17">
        <v>39.6</v>
      </c>
      <c r="R134" s="18">
        <f>SUM(E134:P134)</f>
      </c>
      <c r="U134" s="20">
        <v>804.84</v>
      </c>
      <c r="X134" s="21">
        <f>R134/$C$3</f>
      </c>
      <c r="Y134" s="21">
        <f>R134/$C$3/12</f>
      </c>
    </row>
    <row r="135" spans="1:25" s="15" customFormat="1" x14ac:dyDescent="0.25">
      <c r="A135" s="14" t="s">
        <v>301</v>
      </c>
      <c r="B135" s="15" t="s">
        <v>302</v>
      </c>
      <c r="D135" s="16" t="s">
        <v>227</v>
      </c>
      <c r="E135" s="17">
        <v>13.52</v>
      </c>
      <c r="F135" s="17">
        <v>13.52</v>
      </c>
      <c r="G135" s="17">
        <v>13.52</v>
      </c>
      <c r="H135" s="17">
        <v>13.52</v>
      </c>
      <c r="I135" s="17">
        <v>13.52</v>
      </c>
      <c r="J135" s="17">
        <v>13.52</v>
      </c>
      <c r="K135" s="17">
        <v>13.52</v>
      </c>
      <c r="L135" s="17">
        <v>13.52</v>
      </c>
      <c r="M135" s="17">
        <v>13.52</v>
      </c>
      <c r="N135" s="17">
        <v>13.52</v>
      </c>
      <c r="O135" s="17">
        <v>13.52</v>
      </c>
      <c r="P135" s="17">
        <v>13.52</v>
      </c>
      <c r="R135" s="18">
        <f>SUM(E135:P135)</f>
      </c>
      <c r="U135" s="20">
        <v>274.72</v>
      </c>
      <c r="X135" s="21">
        <f>R135/$C$3</f>
      </c>
      <c r="Y135" s="21">
        <f>R135/$C$3/12</f>
      </c>
    </row>
    <row r="136" spans="1:25" s="15" customFormat="1" x14ac:dyDescent="0.25">
      <c r="A136" s="14" t="s">
        <v>303</v>
      </c>
      <c r="B136" s="15" t="s">
        <v>304</v>
      </c>
      <c r="D136" s="16" t="s">
        <v>227</v>
      </c>
      <c r="E136" s="17">
        <v>111.52</v>
      </c>
      <c r="F136" s="17">
        <v>111.52</v>
      </c>
      <c r="G136" s="17">
        <v>111.52</v>
      </c>
      <c r="H136" s="17">
        <v>111.52</v>
      </c>
      <c r="I136" s="17">
        <v>111.52</v>
      </c>
      <c r="J136" s="17">
        <v>111.52</v>
      </c>
      <c r="K136" s="17">
        <v>111.52</v>
      </c>
      <c r="L136" s="17">
        <v>111.52</v>
      </c>
      <c r="M136" s="17">
        <v>111.52</v>
      </c>
      <c r="N136" s="17">
        <v>111.52</v>
      </c>
      <c r="O136" s="17">
        <v>111.52</v>
      </c>
      <c r="P136" s="17">
        <v>111.51</v>
      </c>
      <c r="R136" s="18">
        <f>SUM(E136:P136)</f>
      </c>
      <c r="U136" s="20">
        <v>2266.43</v>
      </c>
      <c r="X136" s="21">
        <f>R136/$C$3</f>
      </c>
      <c r="Y136" s="21">
        <f>R136/$C$3/12</f>
      </c>
    </row>
    <row r="137" spans="1:25" s="15" customFormat="1" x14ac:dyDescent="0.25">
      <c r="A137" s="14" t="s">
        <v>305</v>
      </c>
      <c r="B137" s="15" t="s">
        <v>306</v>
      </c>
      <c r="D137" s="16" t="s">
        <v>227</v>
      </c>
      <c r="E137" s="17">
        <v>106.88</v>
      </c>
      <c r="F137" s="17">
        <v>106.88</v>
      </c>
      <c r="G137" s="17">
        <v>106.88</v>
      </c>
      <c r="H137" s="17">
        <v>106.87</v>
      </c>
      <c r="I137" s="17">
        <v>106.88</v>
      </c>
      <c r="J137" s="17">
        <v>106.87</v>
      </c>
      <c r="K137" s="17">
        <v>106.87</v>
      </c>
      <c r="L137" s="17">
        <v>106.87</v>
      </c>
      <c r="M137" s="17">
        <v>106.87</v>
      </c>
      <c r="N137" s="17">
        <v>106.87</v>
      </c>
      <c r="O137" s="17">
        <v>106.87</v>
      </c>
      <c r="P137" s="17">
        <v>106.87</v>
      </c>
      <c r="R137" s="18">
        <f>SUM(E137:P137)</f>
      </c>
      <c r="U137" s="20">
        <v>2172.06</v>
      </c>
      <c r="X137" s="21">
        <f>R137/$C$3</f>
      </c>
      <c r="Y137" s="21">
        <f>R137/$C$3/12</f>
      </c>
    </row>
    <row r="138" spans="1:25" s="15" customFormat="1" x14ac:dyDescent="0.25">
      <c r="A138" s="14" t="s">
        <v>307</v>
      </c>
      <c r="B138" s="15" t="s">
        <v>308</v>
      </c>
      <c r="D138" s="16" t="s">
        <v>227</v>
      </c>
      <c r="E138" s="17">
        <v>7.44</v>
      </c>
      <c r="F138" s="17">
        <v>7.44</v>
      </c>
      <c r="G138" s="17">
        <v>7.44</v>
      </c>
      <c r="H138" s="17">
        <v>7.44</v>
      </c>
      <c r="I138" s="17">
        <v>7.44</v>
      </c>
      <c r="J138" s="17">
        <v>7.44</v>
      </c>
      <c r="K138" s="17">
        <v>7.43</v>
      </c>
      <c r="L138" s="17">
        <v>7.43</v>
      </c>
      <c r="M138" s="17">
        <v>7.43</v>
      </c>
      <c r="N138" s="17">
        <v>7.43</v>
      </c>
      <c r="O138" s="17">
        <v>7.43</v>
      </c>
      <c r="P138" s="17">
        <v>7.43</v>
      </c>
      <c r="R138" s="18">
        <f>SUM(E138:P138)</f>
      </c>
      <c r="U138" s="20">
        <v>151.1</v>
      </c>
      <c r="X138" s="21">
        <f>R138/$C$3</f>
      </c>
      <c r="Y138" s="21">
        <f>R138/$C$3/12</f>
      </c>
    </row>
    <row r="139" spans="1:25" s="15" customFormat="1" x14ac:dyDescent="0.25">
      <c r="A139" s="14" t="s">
        <v>309</v>
      </c>
      <c r="B139" s="15" t="s">
        <v>310</v>
      </c>
      <c r="D139" s="16" t="s">
        <v>45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R139" s="18">
        <f>SUM(E139:P139)</f>
      </c>
      <c r="X139" s="21">
        <f>R139/$C$3</f>
      </c>
      <c r="Y139" s="21">
        <f>R139/$C$3/12</f>
      </c>
    </row>
    <row r="140" spans="1:25" s="15" customFormat="1" x14ac:dyDescent="0.25">
      <c r="A140" s="14" t="s">
        <v>311</v>
      </c>
      <c r="B140" s="15" t="s">
        <v>312</v>
      </c>
      <c r="D140" s="16" t="s">
        <v>45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R140" s="18">
        <f>SUM(E140:P140)</f>
      </c>
      <c r="X140" s="21">
        <f>R140/$C$3</f>
      </c>
      <c r="Y140" s="21">
        <f>R140/$C$3/12</f>
      </c>
    </row>
    <row r="141" spans="1:25" s="15" customFormat="1" x14ac:dyDescent="0.25">
      <c r="A141" s="14" t="s">
        <v>313</v>
      </c>
      <c r="B141" s="15" t="s">
        <v>314</v>
      </c>
      <c r="D141" s="16" t="s">
        <v>45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R141" s="18">
        <f>SUM(E141:P141)</f>
      </c>
      <c r="X141" s="21">
        <f>R141/$C$3</f>
      </c>
      <c r="Y141" s="21">
        <f>R141/$C$3/12</f>
      </c>
    </row>
    <row r="142" spans="1:25" s="15" customFormat="1" x14ac:dyDescent="0.25">
      <c r="A142" s="14" t="s">
        <v>315</v>
      </c>
      <c r="B142" s="15" t="s">
        <v>316</v>
      </c>
      <c r="D142" s="16" t="s">
        <v>45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R142" s="18">
        <f>SUM(E142:P142)</f>
      </c>
      <c r="X142" s="21">
        <f>R142/$C$3</f>
      </c>
      <c r="Y142" s="21">
        <f>R142/$C$3/12</f>
      </c>
    </row>
    <row r="143" spans="1:25" s="15" customFormat="1" x14ac:dyDescent="0.25">
      <c r="A143" s="14" t="s">
        <v>317</v>
      </c>
      <c r="B143" s="15" t="s">
        <v>318</v>
      </c>
      <c r="D143" s="16" t="s">
        <v>227</v>
      </c>
      <c r="E143" s="17">
        <v>10.48</v>
      </c>
      <c r="F143" s="17">
        <v>10.48</v>
      </c>
      <c r="G143" s="17">
        <v>10.48</v>
      </c>
      <c r="H143" s="17">
        <v>10.48</v>
      </c>
      <c r="I143" s="17">
        <v>10.48</v>
      </c>
      <c r="J143" s="17">
        <v>10.48</v>
      </c>
      <c r="K143" s="17">
        <v>10.47</v>
      </c>
      <c r="L143" s="17">
        <v>10.47</v>
      </c>
      <c r="M143" s="17">
        <v>10.47</v>
      </c>
      <c r="N143" s="17">
        <v>10.47</v>
      </c>
      <c r="O143" s="17">
        <v>10.47</v>
      </c>
      <c r="P143" s="17">
        <v>10.47</v>
      </c>
      <c r="R143" s="18">
        <f>SUM(E143:P143)</f>
      </c>
      <c r="U143" s="20">
        <v>212.93</v>
      </c>
      <c r="X143" s="21">
        <f>R143/$C$3</f>
      </c>
      <c r="Y143" s="21">
        <f>R143/$C$3/12</f>
      </c>
    </row>
    <row r="144" spans="1:25" s="15" customFormat="1" x14ac:dyDescent="0.25">
      <c r="A144" s="14" t="s">
        <v>319</v>
      </c>
      <c r="B144" s="15" t="s">
        <v>320</v>
      </c>
      <c r="D144" s="16" t="s">
        <v>227</v>
      </c>
      <c r="E144" s="17">
        <v>184.1</v>
      </c>
      <c r="F144" s="17">
        <v>184.1</v>
      </c>
      <c r="G144" s="17">
        <v>184.1</v>
      </c>
      <c r="H144" s="17">
        <v>184.1</v>
      </c>
      <c r="I144" s="17">
        <v>184.1</v>
      </c>
      <c r="J144" s="17">
        <v>184.1</v>
      </c>
      <c r="K144" s="17">
        <v>184.1</v>
      </c>
      <c r="L144" s="17">
        <v>184.1</v>
      </c>
      <c r="M144" s="17">
        <v>184.1</v>
      </c>
      <c r="N144" s="17">
        <v>184.1</v>
      </c>
      <c r="O144" s="17">
        <v>184.1</v>
      </c>
      <c r="P144" s="17">
        <v>184.1</v>
      </c>
      <c r="R144" s="18">
        <f>SUM(E144:P144)</f>
      </c>
      <c r="U144" s="20">
        <v>3741.51</v>
      </c>
      <c r="X144" s="21">
        <f>R144/$C$3</f>
      </c>
      <c r="Y144" s="21">
        <f>R144/$C$3/12</f>
      </c>
    </row>
    <row r="145" spans="1:25" s="15" customFormat="1" x14ac:dyDescent="0.25">
      <c r="A145" s="14" t="s">
        <v>321</v>
      </c>
      <c r="B145" s="15" t="s">
        <v>322</v>
      </c>
      <c r="D145" s="16" t="s">
        <v>227</v>
      </c>
      <c r="E145" s="17">
        <v>481.69</v>
      </c>
      <c r="F145" s="17">
        <v>481.69</v>
      </c>
      <c r="G145" s="17">
        <v>481.69</v>
      </c>
      <c r="H145" s="17">
        <v>481.69</v>
      </c>
      <c r="I145" s="17">
        <v>441.83</v>
      </c>
      <c r="J145" s="17">
        <v>441.83</v>
      </c>
      <c r="K145" s="17">
        <v>441.83</v>
      </c>
      <c r="L145" s="17">
        <v>441.83</v>
      </c>
      <c r="M145" s="17">
        <v>441.83</v>
      </c>
      <c r="N145" s="17">
        <v>481.69</v>
      </c>
      <c r="O145" s="17">
        <v>481.69</v>
      </c>
      <c r="P145" s="17">
        <v>481.69</v>
      </c>
      <c r="R145" s="18">
        <f>SUM(E145:P145)</f>
      </c>
      <c r="U145" s="20">
        <v>9451.99</v>
      </c>
      <c r="X145" s="21">
        <f>R145/$C$3</f>
      </c>
      <c r="Y145" s="21">
        <f>R145/$C$3/12</f>
      </c>
    </row>
    <row r="146" spans="1:25" s="15" customFormat="1" x14ac:dyDescent="0.25">
      <c r="A146" s="14" t="s">
        <v>323</v>
      </c>
      <c r="B146" s="15" t="s">
        <v>324</v>
      </c>
      <c r="D146" s="16" t="s">
        <v>45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R146" s="18">
        <f>SUM(E146:P146)</f>
      </c>
      <c r="X146" s="21">
        <f>R146/$C$3</f>
      </c>
      <c r="Y146" s="21">
        <f>R146/$C$3/12</f>
      </c>
    </row>
    <row r="147" spans="1:25" s="15" customFormat="1" x14ac:dyDescent="0.25">
      <c r="A147" s="14" t="s">
        <v>325</v>
      </c>
      <c r="B147" s="15" t="s">
        <v>326</v>
      </c>
      <c r="D147" s="16" t="s">
        <v>45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R147" s="18">
        <f>SUM(E147:P147)</f>
      </c>
      <c r="X147" s="21">
        <f>R147/$C$3</f>
      </c>
      <c r="Y147" s="21">
        <f>R147/$C$3/12</f>
      </c>
    </row>
    <row r="148" spans="1:25" s="15" customFormat="1" x14ac:dyDescent="0.25">
      <c r="A148" s="14" t="s">
        <v>327</v>
      </c>
      <c r="B148" s="15" t="s">
        <v>328</v>
      </c>
      <c r="D148" s="16" t="s">
        <v>45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R148" s="18">
        <f>SUM(E148:P148)</f>
      </c>
      <c r="X148" s="21">
        <f>R148/$C$3</f>
      </c>
      <c r="Y148" s="21">
        <f>R148/$C$3/12</f>
      </c>
    </row>
    <row r="149" spans="1:25" s="15" customFormat="1" x14ac:dyDescent="0.25">
      <c r="A149" s="14" t="s">
        <v>329</v>
      </c>
      <c r="B149" s="15" t="s">
        <v>330</v>
      </c>
      <c r="D149" s="16" t="s">
        <v>45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R149" s="18">
        <f>SUM(E149:P149)</f>
      </c>
      <c r="X149" s="21">
        <f>R149/$C$3</f>
      </c>
      <c r="Y149" s="21">
        <f>R149/$C$3/12</f>
      </c>
    </row>
    <row r="150" spans="1:25" s="15" customFormat="1" x14ac:dyDescent="0.25">
      <c r="A150" s="14" t="s">
        <v>331</v>
      </c>
      <c r="B150" s="15" t="s">
        <v>332</v>
      </c>
      <c r="D150" s="16" t="s">
        <v>45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R150" s="18">
        <f>SUM(E150:P150)</f>
      </c>
      <c r="X150" s="21">
        <f>R150/$C$3</f>
      </c>
      <c r="Y150" s="21">
        <f>R150/$C$3/12</f>
      </c>
    </row>
    <row r="151" spans="1:25" s="15" customFormat="1" x14ac:dyDescent="0.25">
      <c r="A151" s="14" t="s">
        <v>333</v>
      </c>
      <c r="B151" s="15" t="s">
        <v>334</v>
      </c>
      <c r="D151" s="16" t="s">
        <v>45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R151" s="18">
        <f>SUM(E151:P151)</f>
      </c>
      <c r="X151" s="21">
        <f>R151/$C$3</f>
      </c>
      <c r="Y151" s="21">
        <f>R151/$C$3/12</f>
      </c>
    </row>
    <row r="152" spans="1:25" s="15" customFormat="1" x14ac:dyDescent="0.25">
      <c r="A152" s="14" t="s">
        <v>335</v>
      </c>
      <c r="B152" s="15" t="s">
        <v>336</v>
      </c>
      <c r="D152" s="16" t="s">
        <v>45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R152" s="18">
        <f>SUM(E152:P152)</f>
      </c>
      <c r="X152" s="21">
        <f>R152/$C$3</f>
      </c>
      <c r="Y152" s="21">
        <f>R152/$C$3/12</f>
      </c>
    </row>
    <row r="153" spans="1:25" s="15" customFormat="1" x14ac:dyDescent="0.25">
      <c r="A153" s="14" t="s">
        <v>337</v>
      </c>
      <c r="B153" s="15" t="s">
        <v>338</v>
      </c>
      <c r="D153" s="16" t="s">
        <v>227</v>
      </c>
      <c r="E153" s="17">
        <v>22.03</v>
      </c>
      <c r="F153" s="17">
        <v>22.03</v>
      </c>
      <c r="G153" s="17">
        <v>22.03</v>
      </c>
      <c r="H153" s="17">
        <v>22.03</v>
      </c>
      <c r="I153" s="17">
        <v>22.03</v>
      </c>
      <c r="J153" s="17">
        <v>22.02</v>
      </c>
      <c r="K153" s="17">
        <v>22.02</v>
      </c>
      <c r="L153" s="17">
        <v>22.02</v>
      </c>
      <c r="M153" s="17">
        <v>22.02</v>
      </c>
      <c r="N153" s="17">
        <v>22.02</v>
      </c>
      <c r="O153" s="17">
        <v>22.02</v>
      </c>
      <c r="P153" s="17">
        <v>22.02</v>
      </c>
      <c r="R153" s="18">
        <f>SUM(E153:P153)</f>
      </c>
      <c r="U153" s="20">
        <v>447.65</v>
      </c>
      <c r="X153" s="21">
        <f>R153/$C$3</f>
      </c>
      <c r="Y153" s="21">
        <f>R153/$C$3/12</f>
      </c>
    </row>
    <row r="154" spans="1:25" s="15" customFormat="1" x14ac:dyDescent="0.25">
      <c r="A154" s="14" t="s">
        <v>339</v>
      </c>
      <c r="B154" s="15" t="s">
        <v>340</v>
      </c>
      <c r="D154" s="16" t="s">
        <v>45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R154" s="18">
        <f>SUM(E154:P154)</f>
      </c>
      <c r="X154" s="21">
        <f>R154/$C$3</f>
      </c>
      <c r="Y154" s="21">
        <f>R154/$C$3/12</f>
      </c>
    </row>
    <row r="155" spans="1:25" s="13" customFormat="1" x14ac:dyDescent="0.25">
      <c r="A155" s="14" t="s">
        <v>341</v>
      </c>
      <c r="B155" s="13" t="s">
        <v>342</v>
      </c>
      <c r="E155" s="22">
        <f>SUM(E113:E154)</f>
      </c>
      <c r="F155" s="22">
        <f>SUM(F113:F154)</f>
      </c>
      <c r="G155" s="22">
        <f>SUM(G113:G154)</f>
      </c>
      <c r="H155" s="22">
        <f>SUM(H113:H154)</f>
      </c>
      <c r="I155" s="22">
        <f>SUM(I113:I154)</f>
      </c>
      <c r="J155" s="22">
        <f>SUM(J113:J154)</f>
      </c>
      <c r="K155" s="22">
        <f>SUM(K113:K154)</f>
      </c>
      <c r="L155" s="22">
        <f>SUM(L113:L154)</f>
      </c>
      <c r="M155" s="22">
        <f>SUM(M113:M154)</f>
      </c>
      <c r="N155" s="22">
        <f>SUM(N113:N154)</f>
      </c>
      <c r="O155" s="22">
        <f>SUM(O113:O154)</f>
      </c>
      <c r="P155" s="22">
        <f>SUM(P113:P154)</f>
      </c>
      <c r="R155" s="22">
        <f>SUM(E155:P155)</f>
      </c>
      <c r="T155" s="19">
        <v>4491.3</v>
      </c>
      <c r="X155" s="23">
        <f>R155/$C$3</f>
      </c>
      <c r="Y155" s="23">
        <f>R155/$C$3/12</f>
      </c>
    </row>
    <row r="156" spans="1:2" s="13" customFormat="1" x14ac:dyDescent="0.25">
      <c r="A156" s="14" t="s">
        <v>343</v>
      </c>
      <c r="B156" s="13" t="s">
        <v>344</v>
      </c>
    </row>
    <row r="157" spans="1:25" s="15" customFormat="1" x14ac:dyDescent="0.25">
      <c r="A157" s="14" t="s">
        <v>345</v>
      </c>
      <c r="B157" s="15" t="s">
        <v>346</v>
      </c>
      <c r="D157" s="16" t="s">
        <v>45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R157" s="18">
        <f>SUM(E157:P157)</f>
      </c>
      <c r="X157" s="21">
        <f>R157/$C$3</f>
      </c>
      <c r="Y157" s="21">
        <f>R157/$C$3/12</f>
      </c>
    </row>
    <row r="158" spans="1:25" s="15" customFormat="1" x14ac:dyDescent="0.25">
      <c r="A158" s="14" t="s">
        <v>347</v>
      </c>
      <c r="B158" s="15" t="s">
        <v>348</v>
      </c>
      <c r="D158" s="16" t="s">
        <v>45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R158" s="18">
        <f>SUM(E158:P158)</f>
      </c>
      <c r="X158" s="21">
        <f>R158/$C$3</f>
      </c>
      <c r="Y158" s="21">
        <f>R158/$C$3/12</f>
      </c>
    </row>
    <row r="159" spans="1:25" s="15" customFormat="1" x14ac:dyDescent="0.25">
      <c r="A159" s="14" t="s">
        <v>349</v>
      </c>
      <c r="B159" s="15" t="s">
        <v>350</v>
      </c>
      <c r="D159" s="16" t="s">
        <v>45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R159" s="18">
        <f>SUM(E159:P159)</f>
      </c>
      <c r="X159" s="21">
        <f>R159/$C$3</f>
      </c>
      <c r="Y159" s="21">
        <f>R159/$C$3/12</f>
      </c>
    </row>
    <row r="160" spans="1:25" s="15" customFormat="1" x14ac:dyDescent="0.25">
      <c r="A160" s="14" t="s">
        <v>351</v>
      </c>
      <c r="B160" s="15" t="s">
        <v>352</v>
      </c>
      <c r="D160" s="16" t="s">
        <v>45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R160" s="18">
        <f>SUM(E160:P160)</f>
      </c>
      <c r="X160" s="21">
        <f>R160/$C$3</f>
      </c>
      <c r="Y160" s="21">
        <f>R160/$C$3/12</f>
      </c>
    </row>
    <row r="161" spans="1:25" s="15" customFormat="1" x14ac:dyDescent="0.25">
      <c r="A161" s="14" t="s">
        <v>353</v>
      </c>
      <c r="B161" s="15" t="s">
        <v>354</v>
      </c>
      <c r="D161" s="16" t="s">
        <v>45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R161" s="18">
        <f>SUM(E161:P161)</f>
      </c>
      <c r="X161" s="21">
        <f>R161/$C$3</f>
      </c>
      <c r="Y161" s="21">
        <f>R161/$C$3/12</f>
      </c>
    </row>
    <row r="162" spans="1:25" s="15" customFormat="1" x14ac:dyDescent="0.25">
      <c r="A162" s="14" t="s">
        <v>355</v>
      </c>
      <c r="B162" s="15" t="s">
        <v>356</v>
      </c>
      <c r="D162" s="16" t="s">
        <v>45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R162" s="18">
        <f>SUM(E162:P162)</f>
      </c>
      <c r="X162" s="21">
        <f>R162/$C$3</f>
      </c>
      <c r="Y162" s="21">
        <f>R162/$C$3/12</f>
      </c>
    </row>
    <row r="163" spans="1:25" s="15" customFormat="1" x14ac:dyDescent="0.25">
      <c r="A163" s="14" t="s">
        <v>357</v>
      </c>
      <c r="B163" s="15" t="s">
        <v>358</v>
      </c>
      <c r="D163" s="16" t="s">
        <v>45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R163" s="18">
        <f>SUM(E163:P163)</f>
      </c>
      <c r="X163" s="21">
        <f>R163/$C$3</f>
      </c>
      <c r="Y163" s="21">
        <f>R163/$C$3/12</f>
      </c>
    </row>
    <row r="164" spans="1:25" s="15" customFormat="1" x14ac:dyDescent="0.25">
      <c r="A164" s="14" t="s">
        <v>359</v>
      </c>
      <c r="B164" s="15" t="s">
        <v>360</v>
      </c>
      <c r="D164" s="16" t="s">
        <v>45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R164" s="18">
        <f>SUM(E164:P164)</f>
      </c>
      <c r="X164" s="21">
        <f>R164/$C$3</f>
      </c>
      <c r="Y164" s="21">
        <f>R164/$C$3/12</f>
      </c>
    </row>
    <row r="165" spans="1:25" s="13" customFormat="1" x14ac:dyDescent="0.25">
      <c r="A165" s="14" t="s">
        <v>361</v>
      </c>
      <c r="B165" s="13" t="s">
        <v>362</v>
      </c>
      <c r="E165" s="22">
        <f>SUM(E157:E164)</f>
      </c>
      <c r="F165" s="22">
        <f>SUM(F157:F164)</f>
      </c>
      <c r="G165" s="22">
        <f>SUM(G157:G164)</f>
      </c>
      <c r="H165" s="22">
        <f>SUM(H157:H164)</f>
      </c>
      <c r="I165" s="22">
        <f>SUM(I157:I164)</f>
      </c>
      <c r="J165" s="22">
        <f>SUM(J157:J164)</f>
      </c>
      <c r="K165" s="22">
        <f>SUM(K157:K164)</f>
      </c>
      <c r="L165" s="22">
        <f>SUM(L157:L164)</f>
      </c>
      <c r="M165" s="22">
        <f>SUM(M157:M164)</f>
      </c>
      <c r="N165" s="22">
        <f>SUM(N157:N164)</f>
      </c>
      <c r="O165" s="22">
        <f>SUM(O157:O164)</f>
      </c>
      <c r="P165" s="22">
        <f>SUM(P157:P164)</f>
      </c>
      <c r="R165" s="22">
        <f>SUM(E165:P165)</f>
      </c>
      <c r="X165" s="23">
        <f>R165/$C$3</f>
      </c>
      <c r="Y165" s="23">
        <f>R165/$C$3/12</f>
      </c>
    </row>
    <row r="166" spans="1:2" s="13" customFormat="1" x14ac:dyDescent="0.25">
      <c r="A166" s="14" t="s">
        <v>363</v>
      </c>
      <c r="B166" s="13" t="s">
        <v>364</v>
      </c>
    </row>
    <row r="167" spans="1:25" s="15" customFormat="1" x14ac:dyDescent="0.25">
      <c r="A167" s="14" t="s">
        <v>365</v>
      </c>
      <c r="B167" s="15" t="s">
        <v>366</v>
      </c>
      <c r="D167" s="16" t="s">
        <v>367</v>
      </c>
      <c r="E167" s="17">
        <v>10498.61</v>
      </c>
      <c r="F167" s="17">
        <v>10498.61</v>
      </c>
      <c r="G167" s="17">
        <v>10498.61</v>
      </c>
      <c r="H167" s="17">
        <v>10498.6</v>
      </c>
      <c r="I167" s="17">
        <v>10498.6</v>
      </c>
      <c r="J167" s="17">
        <v>10498.6</v>
      </c>
      <c r="K167" s="17">
        <v>10498.6</v>
      </c>
      <c r="L167" s="17">
        <v>10498.6</v>
      </c>
      <c r="M167" s="17">
        <v>10498.6</v>
      </c>
      <c r="N167" s="17">
        <v>10498.6</v>
      </c>
      <c r="O167" s="17">
        <v>10498.6</v>
      </c>
      <c r="P167" s="17">
        <v>10498.6</v>
      </c>
      <c r="R167" s="18">
        <f>SUM(E167:P167)</f>
      </c>
      <c r="U167" s="20">
        <v>90761.97</v>
      </c>
      <c r="X167" s="21">
        <f>R167/$C$3</f>
      </c>
      <c r="Y167" s="21">
        <f>R167/$C$3/12</f>
      </c>
    </row>
    <row r="168" spans="1:25" s="15" customFormat="1" x14ac:dyDescent="0.25">
      <c r="A168" s="14" t="s">
        <v>368</v>
      </c>
      <c r="B168" s="15" t="s">
        <v>369</v>
      </c>
      <c r="D168" s="16" t="s">
        <v>367</v>
      </c>
      <c r="E168" s="17">
        <v>13342.8</v>
      </c>
      <c r="F168" s="17">
        <v>13342.79</v>
      </c>
      <c r="G168" s="17">
        <v>13342.79</v>
      </c>
      <c r="H168" s="17">
        <v>13342.79</v>
      </c>
      <c r="I168" s="17">
        <v>13342.79</v>
      </c>
      <c r="J168" s="17">
        <v>13342.79</v>
      </c>
      <c r="K168" s="17">
        <v>13342.79</v>
      </c>
      <c r="L168" s="17">
        <v>13342.79</v>
      </c>
      <c r="M168" s="17">
        <v>13342.79</v>
      </c>
      <c r="N168" s="17">
        <v>13342.79</v>
      </c>
      <c r="O168" s="17">
        <v>13342.79</v>
      </c>
      <c r="P168" s="17">
        <v>13342.79</v>
      </c>
      <c r="R168" s="18">
        <f>SUM(E168:P168)</f>
      </c>
      <c r="U168" s="20">
        <v>115175.82</v>
      </c>
      <c r="X168" s="21">
        <f>R168/$C$3</f>
      </c>
      <c r="Y168" s="21">
        <f>R168/$C$3/12</f>
      </c>
    </row>
    <row r="169" spans="1:25" s="15" customFormat="1" x14ac:dyDescent="0.25">
      <c r="A169" s="14" t="s">
        <v>370</v>
      </c>
      <c r="B169" s="15" t="s">
        <v>371</v>
      </c>
      <c r="D169" s="16" t="s">
        <v>45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R169" s="18">
        <f>SUM(E169:P169)</f>
      </c>
      <c r="X169" s="21">
        <f>R169/$C$3</f>
      </c>
      <c r="Y169" s="21">
        <f>R169/$C$3/12</f>
      </c>
    </row>
    <row r="170" spans="1:25" s="15" customFormat="1" x14ac:dyDescent="0.25">
      <c r="A170" s="14" t="s">
        <v>372</v>
      </c>
      <c r="B170" s="15" t="s">
        <v>373</v>
      </c>
      <c r="D170" s="16" t="s">
        <v>45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R170" s="18">
        <f>SUM(E170:P170)</f>
      </c>
      <c r="X170" s="21">
        <f>R170/$C$3</f>
      </c>
      <c r="Y170" s="21">
        <f>R170/$C$3/12</f>
      </c>
    </row>
    <row r="171" spans="1:25" s="15" customFormat="1" x14ac:dyDescent="0.25">
      <c r="A171" s="14" t="s">
        <v>374</v>
      </c>
      <c r="B171" s="15" t="s">
        <v>375</v>
      </c>
      <c r="D171" s="16" t="s">
        <v>376</v>
      </c>
      <c r="E171" s="17">
        <v>912.58</v>
      </c>
      <c r="F171" s="17">
        <v>912.58</v>
      </c>
      <c r="G171" s="17">
        <v>912.58</v>
      </c>
      <c r="H171" s="17">
        <v>912.58</v>
      </c>
      <c r="I171" s="17">
        <v>912.58</v>
      </c>
      <c r="J171" s="17">
        <v>912.58</v>
      </c>
      <c r="K171" s="17">
        <v>912.58</v>
      </c>
      <c r="L171" s="17">
        <v>912.58</v>
      </c>
      <c r="M171" s="17">
        <v>912.58</v>
      </c>
      <c r="N171" s="17">
        <v>912.58</v>
      </c>
      <c r="O171" s="17">
        <v>912.58</v>
      </c>
      <c r="P171" s="17">
        <v>912.57</v>
      </c>
      <c r="R171" s="18">
        <f>SUM(E171:P171)</f>
      </c>
      <c r="U171" s="20">
        <v>8196.44</v>
      </c>
      <c r="X171" s="21">
        <f>R171/$C$3</f>
      </c>
      <c r="Y171" s="21">
        <f>R171/$C$3/12</f>
      </c>
    </row>
    <row r="172" spans="1:25" s="15" customFormat="1" x14ac:dyDescent="0.25">
      <c r="A172" s="14" t="s">
        <v>377</v>
      </c>
      <c r="B172" s="15" t="s">
        <v>378</v>
      </c>
      <c r="D172" s="16" t="s">
        <v>379</v>
      </c>
      <c r="E172" s="17">
        <v>458.8</v>
      </c>
      <c r="F172" s="17">
        <v>4745.55</v>
      </c>
      <c r="G172" s="17">
        <v>489.39</v>
      </c>
      <c r="H172" s="17">
        <v>489.39</v>
      </c>
      <c r="I172" s="17">
        <v>4745.55</v>
      </c>
      <c r="J172" s="17">
        <v>489.39</v>
      </c>
      <c r="K172" s="17">
        <v>489.39</v>
      </c>
      <c r="L172" s="17">
        <v>4745.55</v>
      </c>
      <c r="M172" s="17">
        <v>458.8</v>
      </c>
      <c r="N172" s="17">
        <v>458.8</v>
      </c>
      <c r="O172" s="17">
        <v>4745.54</v>
      </c>
      <c r="P172" s="17">
        <v>458.8</v>
      </c>
      <c r="R172" s="18">
        <f>SUM(E172:P172)</f>
      </c>
      <c r="U172" s="20">
        <v>17046.32</v>
      </c>
      <c r="X172" s="21">
        <f>R172/$C$3</f>
      </c>
      <c r="Y172" s="21">
        <f>R172/$C$3/12</f>
      </c>
    </row>
    <row r="173" spans="1:25" s="15" customFormat="1" x14ac:dyDescent="0.25">
      <c r="A173" s="14" t="s">
        <v>380</v>
      </c>
      <c r="B173" s="15" t="s">
        <v>381</v>
      </c>
      <c r="D173" s="16" t="s">
        <v>382</v>
      </c>
      <c r="E173" s="17">
        <v>3551.13</v>
      </c>
      <c r="F173" s="17">
        <v>2089.08</v>
      </c>
      <c r="G173" s="17">
        <v>764.67</v>
      </c>
      <c r="H173" s="17">
        <v>2352.13</v>
      </c>
      <c r="I173" s="17">
        <v>437.39</v>
      </c>
      <c r="J173" s="17">
        <v>932.9</v>
      </c>
      <c r="K173" s="17">
        <v>623.97</v>
      </c>
      <c r="L173" s="17">
        <v>1113.36</v>
      </c>
      <c r="M173" s="17">
        <v>1327.47</v>
      </c>
      <c r="N173" s="17">
        <v>1731.21</v>
      </c>
      <c r="O173" s="17">
        <v>1722.04</v>
      </c>
      <c r="P173" s="17">
        <v>2107.43</v>
      </c>
      <c r="R173" s="18">
        <f>SUM(E173:P173)</f>
      </c>
      <c r="U173" s="20">
        <v>14035.86</v>
      </c>
      <c r="X173" s="21">
        <f>R173/$C$3</f>
      </c>
      <c r="Y173" s="21">
        <f>R173/$C$3/12</f>
      </c>
    </row>
    <row r="174" spans="1:25" s="15" customFormat="1" x14ac:dyDescent="0.25">
      <c r="A174" s="14" t="s">
        <v>383</v>
      </c>
      <c r="B174" s="15" t="s">
        <v>384</v>
      </c>
      <c r="D174" s="16" t="s">
        <v>385</v>
      </c>
      <c r="E174" s="17">
        <v>708.72</v>
      </c>
      <c r="F174" s="17">
        <v>861.66</v>
      </c>
      <c r="G174" s="17">
        <v>586.38</v>
      </c>
      <c r="H174" s="17">
        <v>647.55</v>
      </c>
      <c r="I174" s="17">
        <v>647.55</v>
      </c>
      <c r="J174" s="17">
        <v>678.14</v>
      </c>
      <c r="K174" s="17">
        <v>892.24</v>
      </c>
      <c r="L174" s="17">
        <v>708.72</v>
      </c>
      <c r="M174" s="17">
        <v>831.07</v>
      </c>
      <c r="N174" s="17">
        <v>861.66</v>
      </c>
      <c r="O174" s="17">
        <v>769.9</v>
      </c>
      <c r="P174" s="17">
        <v>953.42</v>
      </c>
      <c r="R174" s="18">
        <f>SUM(E174:P174)</f>
      </c>
      <c r="U174" s="20">
        <v>6846.25</v>
      </c>
      <c r="X174" s="21">
        <f>R174/$C$3</f>
      </c>
      <c r="Y174" s="21">
        <f>R174/$C$3/12</f>
      </c>
    </row>
    <row r="175" spans="1:25" s="15" customFormat="1" x14ac:dyDescent="0.25">
      <c r="A175" s="14" t="s">
        <v>386</v>
      </c>
      <c r="B175" s="15" t="s">
        <v>387</v>
      </c>
      <c r="D175" s="16" t="s">
        <v>45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R175" s="18">
        <f>SUM(E175:P175)</f>
      </c>
      <c r="X175" s="21">
        <f>R175/$C$3</f>
      </c>
      <c r="Y175" s="21">
        <f>R175/$C$3/12</f>
      </c>
    </row>
    <row r="176" spans="1:25" s="15" customFormat="1" x14ac:dyDescent="0.25">
      <c r="A176" s="14" t="s">
        <v>388</v>
      </c>
      <c r="B176" s="15" t="s">
        <v>389</v>
      </c>
      <c r="D176" s="16" t="s">
        <v>45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R176" s="18">
        <f>SUM(E176:P176)</f>
      </c>
      <c r="X176" s="21">
        <f>R176/$C$3</f>
      </c>
      <c r="Y176" s="21">
        <f>R176/$C$3/12</f>
      </c>
    </row>
    <row r="177" spans="1:25" s="15" customFormat="1" x14ac:dyDescent="0.25">
      <c r="A177" s="14" t="s">
        <v>390</v>
      </c>
      <c r="B177" s="15" t="s">
        <v>391</v>
      </c>
      <c r="D177" s="16" t="s">
        <v>392</v>
      </c>
      <c r="E177" s="17">
        <v>144.16</v>
      </c>
      <c r="F177" s="17">
        <v>144.16</v>
      </c>
      <c r="G177" s="17">
        <v>144.16</v>
      </c>
      <c r="H177" s="17">
        <v>144.15</v>
      </c>
      <c r="I177" s="17">
        <v>144.15</v>
      </c>
      <c r="J177" s="17">
        <v>144.15</v>
      </c>
      <c r="K177" s="17">
        <v>144.15</v>
      </c>
      <c r="L177" s="17">
        <v>144.15</v>
      </c>
      <c r="M177" s="17">
        <v>144.15</v>
      </c>
      <c r="N177" s="17">
        <v>144.15</v>
      </c>
      <c r="O177" s="17">
        <v>144.15</v>
      </c>
      <c r="P177" s="17">
        <v>144.15</v>
      </c>
      <c r="R177" s="18">
        <f>SUM(E177:P177)</f>
      </c>
      <c r="U177" s="20">
        <v>1294.72</v>
      </c>
      <c r="X177" s="21">
        <f>R177/$C$3</f>
      </c>
      <c r="Y177" s="21">
        <f>R177/$C$3/12</f>
      </c>
    </row>
    <row r="178" spans="1:25" s="15" customFormat="1" x14ac:dyDescent="0.25">
      <c r="A178" s="14" t="s">
        <v>393</v>
      </c>
      <c r="B178" s="15" t="s">
        <v>394</v>
      </c>
      <c r="D178" s="16" t="s">
        <v>395</v>
      </c>
      <c r="E178" s="17">
        <v>2304.2</v>
      </c>
      <c r="F178" s="17">
        <v>2270.56</v>
      </c>
      <c r="G178" s="17">
        <v>2200.21</v>
      </c>
      <c r="H178" s="17">
        <v>2181.86</v>
      </c>
      <c r="I178" s="17">
        <v>2460.2</v>
      </c>
      <c r="J178" s="17">
        <v>2295.03</v>
      </c>
      <c r="K178" s="17">
        <v>2200.21</v>
      </c>
      <c r="L178" s="17">
        <v>2512.2</v>
      </c>
      <c r="M178" s="17">
        <v>2233.86</v>
      </c>
      <c r="N178" s="17">
        <v>2169.62</v>
      </c>
      <c r="O178" s="17">
        <v>2533.61</v>
      </c>
      <c r="P178" s="17">
        <v>2298.09</v>
      </c>
      <c r="R178" s="18">
        <f>SUM(E178:P178)</f>
      </c>
      <c r="U178" s="20">
        <v>20702.36</v>
      </c>
      <c r="X178" s="21">
        <f>R178/$C$3</f>
      </c>
      <c r="Y178" s="21">
        <f>R178/$C$3/12</f>
      </c>
    </row>
    <row r="179" spans="1:25" s="15" customFormat="1" x14ac:dyDescent="0.25">
      <c r="A179" s="14" t="s">
        <v>396</v>
      </c>
      <c r="B179" s="15" t="s">
        <v>397</v>
      </c>
      <c r="D179" s="16" t="s">
        <v>398</v>
      </c>
      <c r="E179" s="17">
        <v>230.93</v>
      </c>
      <c r="F179" s="17">
        <v>200.34</v>
      </c>
      <c r="G179" s="17">
        <v>81.06</v>
      </c>
      <c r="H179" s="17">
        <v>38.23</v>
      </c>
      <c r="I179" s="17">
        <v>350.22</v>
      </c>
      <c r="J179" s="17">
        <v>319.63</v>
      </c>
      <c r="K179" s="17">
        <v>307.4</v>
      </c>
      <c r="L179" s="17">
        <v>362.45</v>
      </c>
      <c r="M179" s="17">
        <v>292.11</v>
      </c>
      <c r="N179" s="17">
        <v>203.4</v>
      </c>
      <c r="O179" s="17">
        <v>237.05</v>
      </c>
      <c r="P179" s="17">
        <v>188.11</v>
      </c>
      <c r="R179" s="18">
        <f>SUM(E179:P179)</f>
      </c>
      <c r="U179" s="20">
        <v>2103.89</v>
      </c>
      <c r="X179" s="21">
        <f>R179/$C$3</f>
      </c>
      <c r="Y179" s="21">
        <f>R179/$C$3/12</f>
      </c>
    </row>
    <row r="180" spans="1:25" s="15" customFormat="1" x14ac:dyDescent="0.25">
      <c r="A180" s="14" t="s">
        <v>399</v>
      </c>
      <c r="B180" s="15" t="s">
        <v>400</v>
      </c>
      <c r="D180" s="16" t="s">
        <v>401</v>
      </c>
      <c r="E180" s="17">
        <v>740.2</v>
      </c>
      <c r="F180" s="17">
        <v>945.13</v>
      </c>
      <c r="G180" s="17">
        <v>516.92</v>
      </c>
      <c r="H180" s="17">
        <v>538.33</v>
      </c>
      <c r="I180" s="17">
        <v>734.08</v>
      </c>
      <c r="J180" s="17">
        <v>663.74</v>
      </c>
      <c r="K180" s="17">
        <v>1559.93</v>
      </c>
      <c r="L180" s="17">
        <v>822.79</v>
      </c>
      <c r="M180" s="17">
        <v>926.78</v>
      </c>
      <c r="N180" s="17">
        <v>697.38</v>
      </c>
      <c r="O180" s="17">
        <v>779.96</v>
      </c>
      <c r="P180" s="17">
        <v>691.26</v>
      </c>
      <c r="R180" s="18">
        <f>SUM(E180:P180)</f>
      </c>
      <c r="U180" s="20">
        <v>7197.64</v>
      </c>
      <c r="X180" s="21">
        <f>R180/$C$3</f>
      </c>
      <c r="Y180" s="21">
        <f>R180/$C$3/12</f>
      </c>
    </row>
    <row r="181" spans="1:25" s="15" customFormat="1" x14ac:dyDescent="0.25">
      <c r="A181" s="14" t="s">
        <v>402</v>
      </c>
      <c r="B181" s="15" t="s">
        <v>403</v>
      </c>
      <c r="D181" s="16" t="s">
        <v>404</v>
      </c>
      <c r="E181" s="17">
        <v>3767.37</v>
      </c>
      <c r="F181" s="17">
        <v>3715.37</v>
      </c>
      <c r="G181" s="17">
        <v>3788.78</v>
      </c>
      <c r="H181" s="17">
        <v>3430.92</v>
      </c>
      <c r="I181" s="17">
        <v>3394.21</v>
      </c>
      <c r="J181" s="17">
        <v>3534.91</v>
      </c>
      <c r="K181" s="17">
        <v>3534.91</v>
      </c>
      <c r="L181" s="17">
        <v>3476.8</v>
      </c>
      <c r="M181" s="17">
        <v>3467.62</v>
      </c>
      <c r="N181" s="17">
        <v>3663.37</v>
      </c>
      <c r="O181" s="17">
        <v>3745.96</v>
      </c>
      <c r="P181" s="17">
        <v>3758.19</v>
      </c>
      <c r="R181" s="18">
        <f>SUM(E181:P181)</f>
      </c>
      <c r="U181" s="20">
        <v>32392.5</v>
      </c>
      <c r="X181" s="21">
        <f>R181/$C$3</f>
      </c>
      <c r="Y181" s="21">
        <f>R181/$C$3/12</f>
      </c>
    </row>
    <row r="182" spans="1:25" s="15" customFormat="1" x14ac:dyDescent="0.25">
      <c r="A182" s="14" t="s">
        <v>405</v>
      </c>
      <c r="B182" s="15" t="s">
        <v>406</v>
      </c>
      <c r="D182" s="16" t="s">
        <v>407</v>
      </c>
      <c r="E182" s="17">
        <v>15.3</v>
      </c>
      <c r="F182" s="17">
        <v>15.3</v>
      </c>
      <c r="G182" s="17">
        <v>15.3</v>
      </c>
      <c r="H182" s="17">
        <v>15.3</v>
      </c>
      <c r="I182" s="17">
        <v>15.29</v>
      </c>
      <c r="J182" s="17">
        <v>15.29</v>
      </c>
      <c r="K182" s="17">
        <v>15.29</v>
      </c>
      <c r="L182" s="17">
        <v>15.29</v>
      </c>
      <c r="M182" s="17">
        <v>15.29</v>
      </c>
      <c r="N182" s="17">
        <v>15.29</v>
      </c>
      <c r="O182" s="17">
        <v>15.29</v>
      </c>
      <c r="P182" s="17">
        <v>15.29</v>
      </c>
      <c r="R182" s="18">
        <f>SUM(E182:P182)</f>
      </c>
      <c r="U182" s="20">
        <v>137.36</v>
      </c>
      <c r="X182" s="21">
        <f>R182/$C$3</f>
      </c>
      <c r="Y182" s="21">
        <f>R182/$C$3/12</f>
      </c>
    </row>
    <row r="183" spans="1:25" s="15" customFormat="1" x14ac:dyDescent="0.25">
      <c r="A183" s="14" t="s">
        <v>408</v>
      </c>
      <c r="B183" s="15" t="s">
        <v>409</v>
      </c>
      <c r="D183" s="16" t="s">
        <v>45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R183" s="18">
        <f>SUM(E183:P183)</f>
      </c>
      <c r="X183" s="21">
        <f>R183/$C$3</f>
      </c>
      <c r="Y183" s="21">
        <f>R183/$C$3/12</f>
      </c>
    </row>
    <row r="184" spans="1:25" s="15" customFormat="1" x14ac:dyDescent="0.25">
      <c r="A184" s="14" t="s">
        <v>410</v>
      </c>
      <c r="B184" s="15" t="s">
        <v>411</v>
      </c>
      <c r="D184" s="16" t="s">
        <v>45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R184" s="18">
        <f>SUM(E184:P184)</f>
      </c>
      <c r="X184" s="21">
        <f>R184/$C$3</f>
      </c>
      <c r="Y184" s="21">
        <f>R184/$C$3/12</f>
      </c>
    </row>
    <row r="185" spans="1:25" s="13" customFormat="1" x14ac:dyDescent="0.25">
      <c r="A185" s="14" t="s">
        <v>412</v>
      </c>
      <c r="B185" s="13" t="s">
        <v>413</v>
      </c>
      <c r="E185" s="22">
        <f>SUM(E167:E184)</f>
      </c>
      <c r="F185" s="22">
        <f>SUM(F167:F184)</f>
      </c>
      <c r="G185" s="22">
        <f>SUM(G167:G184)</f>
      </c>
      <c r="H185" s="22">
        <f>SUM(H167:H184)</f>
      </c>
      <c r="I185" s="22">
        <f>SUM(I167:I184)</f>
      </c>
      <c r="J185" s="22">
        <f>SUM(J167:J184)</f>
      </c>
      <c r="K185" s="22">
        <f>SUM(K167:K184)</f>
      </c>
      <c r="L185" s="22">
        <f>SUM(L167:L184)</f>
      </c>
      <c r="M185" s="22">
        <f>SUM(M167:M184)</f>
      </c>
      <c r="N185" s="22">
        <f>SUM(N167:N184)</f>
      </c>
      <c r="O185" s="22">
        <f>SUM(O167:O184)</f>
      </c>
      <c r="P185" s="22">
        <f>SUM(P167:P184)</f>
      </c>
      <c r="R185" s="22">
        <f>SUM(E185:P185)</f>
      </c>
      <c r="T185" s="19">
        <v>321925</v>
      </c>
      <c r="X185" s="23">
        <f>R185/$C$3</f>
      </c>
      <c r="Y185" s="23">
        <f>R185/$C$3/12</f>
      </c>
    </row>
    <row r="186" spans="1:2" s="13" customFormat="1" x14ac:dyDescent="0.25">
      <c r="A186" s="14" t="s">
        <v>414</v>
      </c>
      <c r="B186" s="13" t="s">
        <v>415</v>
      </c>
    </row>
    <row r="187" spans="1:25" s="15" customFormat="1" x14ac:dyDescent="0.25">
      <c r="A187" s="14" t="s">
        <v>416</v>
      </c>
      <c r="B187" s="15" t="s">
        <v>417</v>
      </c>
      <c r="D187" s="16" t="s">
        <v>418</v>
      </c>
      <c r="E187" s="17">
        <v>397.98</v>
      </c>
      <c r="F187" s="17">
        <v>426.35</v>
      </c>
      <c r="G187" s="17">
        <v>426.35</v>
      </c>
      <c r="H187" s="17">
        <v>426.35</v>
      </c>
      <c r="I187" s="17">
        <v>346.06</v>
      </c>
      <c r="J187" s="17">
        <v>364.17</v>
      </c>
      <c r="K187" s="17">
        <v>398.12</v>
      </c>
      <c r="L187" s="17">
        <v>394.08</v>
      </c>
      <c r="M187" s="17">
        <v>375.27</v>
      </c>
      <c r="N187" s="17">
        <v>451.91</v>
      </c>
      <c r="O187" s="17">
        <v>398.76</v>
      </c>
      <c r="P187" s="17">
        <v>398.45</v>
      </c>
      <c r="R187" s="18">
        <f>SUM(E187:P187)</f>
      </c>
      <c r="U187" s="20">
        <v>9043.34</v>
      </c>
      <c r="X187" s="21">
        <f>R187/$C$3</f>
      </c>
      <c r="Y187" s="21">
        <f>R187/$C$3/12</f>
      </c>
    </row>
    <row r="188" spans="1:25" s="15" customFormat="1" x14ac:dyDescent="0.25">
      <c r="A188" s="14" t="s">
        <v>419</v>
      </c>
      <c r="B188" s="15" t="s">
        <v>420</v>
      </c>
      <c r="D188" s="16" t="s">
        <v>418</v>
      </c>
      <c r="E188" s="17">
        <v>316.69</v>
      </c>
      <c r="F188" s="17">
        <v>316.69</v>
      </c>
      <c r="G188" s="17">
        <v>316.69</v>
      </c>
      <c r="H188" s="17">
        <v>316.69</v>
      </c>
      <c r="I188" s="17">
        <v>319.87</v>
      </c>
      <c r="J188" s="17">
        <v>313.49</v>
      </c>
      <c r="K188" s="17">
        <v>316.69</v>
      </c>
      <c r="L188" s="17">
        <v>316.68</v>
      </c>
      <c r="M188" s="17">
        <v>316.68</v>
      </c>
      <c r="N188" s="17">
        <v>316.68</v>
      </c>
      <c r="O188" s="17">
        <v>316.68</v>
      </c>
      <c r="P188" s="17">
        <v>316.68</v>
      </c>
      <c r="R188" s="18">
        <f>SUM(E188:P188)</f>
      </c>
      <c r="U188" s="20">
        <v>7153.96</v>
      </c>
      <c r="X188" s="21">
        <f>R188/$C$3</f>
      </c>
      <c r="Y188" s="21">
        <f>R188/$C$3/12</f>
      </c>
    </row>
    <row r="189" spans="1:25" s="15" customFormat="1" x14ac:dyDescent="0.25">
      <c r="A189" s="14" t="s">
        <v>421</v>
      </c>
      <c r="B189" s="15" t="s">
        <v>422</v>
      </c>
      <c r="D189" s="16" t="s">
        <v>45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R189" s="18">
        <f>SUM(E189:P189)</f>
      </c>
      <c r="X189" s="21">
        <f>R189/$C$3</f>
      </c>
      <c r="Y189" s="21">
        <f>R189/$C$3/12</f>
      </c>
    </row>
    <row r="190" spans="1:25" s="15" customFormat="1" x14ac:dyDescent="0.25">
      <c r="A190" s="14" t="s">
        <v>423</v>
      </c>
      <c r="B190" s="15" t="s">
        <v>424</v>
      </c>
      <c r="D190" s="16" t="s">
        <v>45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R190" s="18">
        <f>SUM(E190:P190)</f>
      </c>
      <c r="X190" s="21">
        <f>R190/$C$3</f>
      </c>
      <c r="Y190" s="21">
        <f>R190/$C$3/12</f>
      </c>
    </row>
    <row r="191" spans="1:25" s="15" customFormat="1" x14ac:dyDescent="0.25">
      <c r="A191" s="14" t="s">
        <v>425</v>
      </c>
      <c r="B191" s="15" t="s">
        <v>426</v>
      </c>
      <c r="D191" s="16" t="s">
        <v>45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R191" s="18">
        <f>SUM(E191:P191)</f>
      </c>
      <c r="X191" s="21">
        <f>R191/$C$3</f>
      </c>
      <c r="Y191" s="21">
        <f>R191/$C$3/12</f>
      </c>
    </row>
    <row r="192" spans="1:25" s="15" customFormat="1" x14ac:dyDescent="0.25">
      <c r="A192" s="14" t="s">
        <v>427</v>
      </c>
      <c r="B192" s="15" t="s">
        <v>428</v>
      </c>
      <c r="D192" s="16" t="s">
        <v>418</v>
      </c>
      <c r="E192" s="17">
        <v>75.34</v>
      </c>
      <c r="F192" s="17">
        <v>75.34</v>
      </c>
      <c r="G192" s="17">
        <v>75.34</v>
      </c>
      <c r="H192" s="17">
        <v>75.34</v>
      </c>
      <c r="I192" s="17">
        <v>75.34</v>
      </c>
      <c r="J192" s="17">
        <v>75.34</v>
      </c>
      <c r="K192" s="17">
        <v>75.34</v>
      </c>
      <c r="L192" s="17">
        <v>75.34</v>
      </c>
      <c r="M192" s="17">
        <v>75.34</v>
      </c>
      <c r="N192" s="17">
        <v>75.33</v>
      </c>
      <c r="O192" s="17">
        <v>75.33</v>
      </c>
      <c r="P192" s="17">
        <v>75.33</v>
      </c>
      <c r="R192" s="18">
        <f>SUM(E192:P192)</f>
      </c>
      <c r="U192" s="20">
        <v>1701.88</v>
      </c>
      <c r="X192" s="21">
        <f>R192/$C$3</f>
      </c>
      <c r="Y192" s="21">
        <f>R192/$C$3/12</f>
      </c>
    </row>
    <row r="193" spans="1:25" s="15" customFormat="1" x14ac:dyDescent="0.25">
      <c r="A193" s="14" t="s">
        <v>429</v>
      </c>
      <c r="B193" s="15" t="s">
        <v>430</v>
      </c>
      <c r="D193" s="16" t="s">
        <v>418</v>
      </c>
      <c r="E193" s="17">
        <v>17.25</v>
      </c>
      <c r="F193" s="17">
        <v>17.21</v>
      </c>
      <c r="G193" s="17">
        <v>17.2</v>
      </c>
      <c r="H193" s="17">
        <v>17.2</v>
      </c>
      <c r="I193" s="17">
        <v>17.28</v>
      </c>
      <c r="J193" s="17">
        <v>183.27</v>
      </c>
      <c r="K193" s="17">
        <v>17.27</v>
      </c>
      <c r="L193" s="17">
        <v>17.28</v>
      </c>
      <c r="M193" s="17">
        <v>17.28</v>
      </c>
      <c r="N193" s="17">
        <v>17.28</v>
      </c>
      <c r="O193" s="17">
        <v>17.28</v>
      </c>
      <c r="P193" s="17">
        <v>17.27</v>
      </c>
      <c r="R193" s="18">
        <f>SUM(E193:P193)</f>
      </c>
      <c r="U193" s="20">
        <v>702.28</v>
      </c>
      <c r="X193" s="21">
        <f>R193/$C$3</f>
      </c>
      <c r="Y193" s="21">
        <f>R193/$C$3/12</f>
      </c>
    </row>
    <row r="194" spans="1:25" s="15" customFormat="1" x14ac:dyDescent="0.25">
      <c r="A194" s="14" t="s">
        <v>431</v>
      </c>
      <c r="B194" s="15" t="s">
        <v>432</v>
      </c>
      <c r="D194" s="16" t="s">
        <v>418</v>
      </c>
      <c r="E194" s="17">
        <v>26.96</v>
      </c>
      <c r="F194" s="17">
        <v>9.73</v>
      </c>
      <c r="G194" s="17">
        <v>9.73</v>
      </c>
      <c r="H194" s="17">
        <v>9.73</v>
      </c>
      <c r="I194" s="17">
        <v>12.1</v>
      </c>
      <c r="J194" s="17">
        <v>16.99</v>
      </c>
      <c r="K194" s="17">
        <v>9.73</v>
      </c>
      <c r="L194" s="17">
        <v>15.5</v>
      </c>
      <c r="M194" s="17">
        <v>15.47</v>
      </c>
      <c r="N194" s="17">
        <v>9.73</v>
      </c>
      <c r="O194" s="17">
        <v>33.75</v>
      </c>
      <c r="P194" s="17">
        <v>9.73</v>
      </c>
      <c r="R194" s="18">
        <f>SUM(E194:P194)</f>
      </c>
      <c r="U194" s="20">
        <v>337.24</v>
      </c>
      <c r="X194" s="21">
        <f>R194/$C$3</f>
      </c>
      <c r="Y194" s="21">
        <f>R194/$C$3/12</f>
      </c>
    </row>
    <row r="195" spans="1:25" s="15" customFormat="1" x14ac:dyDescent="0.25">
      <c r="A195" s="14" t="s">
        <v>433</v>
      </c>
      <c r="B195" s="15" t="s">
        <v>434</v>
      </c>
      <c r="D195" s="16" t="s">
        <v>45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R195" s="18">
        <f>SUM(E195:P195)</f>
      </c>
      <c r="X195" s="21">
        <f>R195/$C$3</f>
      </c>
      <c r="Y195" s="21">
        <f>R195/$C$3/12</f>
      </c>
    </row>
    <row r="196" spans="1:25" s="15" customFormat="1" x14ac:dyDescent="0.25">
      <c r="A196" s="14" t="s">
        <v>435</v>
      </c>
      <c r="B196" s="15" t="s">
        <v>436</v>
      </c>
      <c r="D196" s="16" t="s">
        <v>418</v>
      </c>
      <c r="E196" s="17">
        <v>36.37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R196" s="18">
        <f>SUM(E196:P196)</f>
      </c>
      <c r="U196" s="20">
        <v>68.47</v>
      </c>
      <c r="X196" s="21">
        <f>R196/$C$3</f>
      </c>
      <c r="Y196" s="21">
        <f>R196/$C$3/12</f>
      </c>
    </row>
    <row r="197" spans="1:25" s="15" customFormat="1" x14ac:dyDescent="0.25">
      <c r="A197" s="14" t="s">
        <v>437</v>
      </c>
      <c r="B197" s="15" t="s">
        <v>438</v>
      </c>
      <c r="D197" s="16" t="s">
        <v>418</v>
      </c>
      <c r="E197" s="17">
        <v>13.99</v>
      </c>
      <c r="F197" s="17">
        <v>13.99</v>
      </c>
      <c r="G197" s="17">
        <v>13.99</v>
      </c>
      <c r="H197" s="17">
        <v>13.99</v>
      </c>
      <c r="I197" s="17">
        <v>13.99</v>
      </c>
      <c r="J197" s="17">
        <v>13.99</v>
      </c>
      <c r="K197" s="17">
        <v>13.99</v>
      </c>
      <c r="L197" s="17">
        <v>13.99</v>
      </c>
      <c r="M197" s="17">
        <v>13.99</v>
      </c>
      <c r="N197" s="17">
        <v>13.99</v>
      </c>
      <c r="O197" s="17">
        <v>13.99</v>
      </c>
      <c r="P197" s="17">
        <v>13.99</v>
      </c>
      <c r="R197" s="18">
        <f>SUM(E197:P197)</f>
      </c>
      <c r="U197" s="20">
        <v>315.93</v>
      </c>
      <c r="X197" s="21">
        <f>R197/$C$3</f>
      </c>
      <c r="Y197" s="21">
        <f>R197/$C$3/12</f>
      </c>
    </row>
    <row r="198" spans="1:25" s="15" customFormat="1" x14ac:dyDescent="0.25">
      <c r="A198" s="14" t="s">
        <v>439</v>
      </c>
      <c r="B198" s="15" t="s">
        <v>440</v>
      </c>
      <c r="D198" s="16" t="s">
        <v>418</v>
      </c>
      <c r="E198" s="17">
        <v>69.32</v>
      </c>
      <c r="F198" s="17">
        <v>73.38</v>
      </c>
      <c r="G198" s="17">
        <v>73.38</v>
      </c>
      <c r="H198" s="17">
        <v>73.38</v>
      </c>
      <c r="I198" s="17">
        <v>82.2</v>
      </c>
      <c r="J198" s="17">
        <v>107.75</v>
      </c>
      <c r="K198" s="17">
        <v>79.29</v>
      </c>
      <c r="L198" s="17">
        <v>69.32</v>
      </c>
      <c r="M198" s="17">
        <v>69.32</v>
      </c>
      <c r="N198" s="17">
        <v>84.51</v>
      </c>
      <c r="O198" s="17">
        <v>73.15</v>
      </c>
      <c r="P198" s="17">
        <v>69.31</v>
      </c>
      <c r="R198" s="18">
        <f>SUM(E198:P198)</f>
      </c>
      <c r="U198" s="20">
        <v>1740.01</v>
      </c>
      <c r="X198" s="21">
        <f>R198/$C$3</f>
      </c>
      <c r="Y198" s="21">
        <f>R198/$C$3/12</f>
      </c>
    </row>
    <row r="199" spans="1:25" s="15" customFormat="1" x14ac:dyDescent="0.25">
      <c r="A199" s="14" t="s">
        <v>441</v>
      </c>
      <c r="B199" s="15" t="s">
        <v>442</v>
      </c>
      <c r="D199" s="16" t="s">
        <v>45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R199" s="18">
        <f>SUM(E199:P199)</f>
      </c>
      <c r="X199" s="21">
        <f>R199/$C$3</f>
      </c>
      <c r="Y199" s="21">
        <f>R199/$C$3/12</f>
      </c>
    </row>
    <row r="200" spans="1:25" s="15" customFormat="1" x14ac:dyDescent="0.25">
      <c r="A200" s="14" t="s">
        <v>443</v>
      </c>
      <c r="B200" s="15" t="s">
        <v>444</v>
      </c>
      <c r="D200" s="16" t="s">
        <v>45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R200" s="18">
        <f>SUM(E200:P200)</f>
      </c>
      <c r="X200" s="21">
        <f>R200/$C$3</f>
      </c>
      <c r="Y200" s="21">
        <f>R200/$C$3/12</f>
      </c>
    </row>
    <row r="201" spans="1:25" s="15" customFormat="1" x14ac:dyDescent="0.25">
      <c r="A201" s="14" t="s">
        <v>445</v>
      </c>
      <c r="B201" s="15" t="s">
        <v>446</v>
      </c>
      <c r="D201" s="16" t="s">
        <v>418</v>
      </c>
      <c r="E201" s="17">
        <v>213.6</v>
      </c>
      <c r="F201" s="17">
        <v>169.53</v>
      </c>
      <c r="G201" s="17">
        <v>127.66</v>
      </c>
      <c r="H201" s="17">
        <v>260.14</v>
      </c>
      <c r="I201" s="17">
        <v>169.53</v>
      </c>
      <c r="J201" s="17">
        <v>123.34</v>
      </c>
      <c r="K201" s="17">
        <v>253.44</v>
      </c>
      <c r="L201" s="17">
        <v>302.96</v>
      </c>
      <c r="M201" s="17">
        <v>169.52</v>
      </c>
      <c r="N201" s="17">
        <v>253.84</v>
      </c>
      <c r="O201" s="17">
        <v>169.52</v>
      </c>
      <c r="P201" s="17">
        <v>563.13</v>
      </c>
      <c r="R201" s="18">
        <f>SUM(E201:P201)</f>
      </c>
      <c r="U201" s="20">
        <v>5226.25</v>
      </c>
      <c r="X201" s="21">
        <f>R201/$C$3</f>
      </c>
      <c r="Y201" s="21">
        <f>R201/$C$3/12</f>
      </c>
    </row>
    <row r="202" spans="1:25" s="15" customFormat="1" x14ac:dyDescent="0.25">
      <c r="A202" s="14" t="s">
        <v>447</v>
      </c>
      <c r="B202" s="15" t="s">
        <v>448</v>
      </c>
      <c r="D202" s="16" t="s">
        <v>418</v>
      </c>
      <c r="E202" s="17">
        <v>348.19</v>
      </c>
      <c r="F202" s="17"/>
      <c r="G202" s="17"/>
      <c r="H202" s="17">
        <v>356.42</v>
      </c>
      <c r="I202" s="17"/>
      <c r="J202" s="17"/>
      <c r="K202" s="17">
        <v>348.19</v>
      </c>
      <c r="L202" s="17"/>
      <c r="M202" s="17"/>
      <c r="N202" s="17">
        <v>348.19</v>
      </c>
      <c r="O202" s="17"/>
      <c r="P202" s="17"/>
      <c r="R202" s="18">
        <f>SUM(E202:P202)</f>
      </c>
      <c r="U202" s="20">
        <v>2637.39</v>
      </c>
      <c r="X202" s="21">
        <f>R202/$C$3</f>
      </c>
      <c r="Y202" s="21">
        <f>R202/$C$3/12</f>
      </c>
    </row>
    <row r="203" spans="1:25" s="15" customFormat="1" x14ac:dyDescent="0.25">
      <c r="A203" s="14" t="s">
        <v>449</v>
      </c>
      <c r="B203" s="15" t="s">
        <v>450</v>
      </c>
      <c r="D203" s="16" t="s">
        <v>418</v>
      </c>
      <c r="E203" s="17">
        <v>178.66</v>
      </c>
      <c r="F203" s="17">
        <v>178.66</v>
      </c>
      <c r="G203" s="17">
        <v>178.66</v>
      </c>
      <c r="H203" s="17">
        <v>178.65</v>
      </c>
      <c r="I203" s="17">
        <v>178.65</v>
      </c>
      <c r="J203" s="17">
        <v>178.65</v>
      </c>
      <c r="K203" s="17">
        <v>178.65</v>
      </c>
      <c r="L203" s="17">
        <v>178.65</v>
      </c>
      <c r="M203" s="17">
        <v>178.65</v>
      </c>
      <c r="N203" s="17">
        <v>178.65</v>
      </c>
      <c r="O203" s="17">
        <v>178.65</v>
      </c>
      <c r="P203" s="17">
        <v>178.65</v>
      </c>
      <c r="R203" s="18">
        <f>SUM(E203:P203)</f>
      </c>
      <c r="U203" s="20">
        <v>4035.9</v>
      </c>
      <c r="X203" s="21">
        <f>R203/$C$3</f>
      </c>
      <c r="Y203" s="21">
        <f>R203/$C$3/12</f>
      </c>
    </row>
    <row r="204" spans="1:25" s="15" customFormat="1" x14ac:dyDescent="0.25">
      <c r="A204" s="14" t="s">
        <v>451</v>
      </c>
      <c r="B204" s="15" t="s">
        <v>452</v>
      </c>
      <c r="D204" s="16" t="s">
        <v>418</v>
      </c>
      <c r="E204" s="17">
        <v>20.07</v>
      </c>
      <c r="F204" s="17">
        <v>20.07</v>
      </c>
      <c r="G204" s="17">
        <v>20.07</v>
      </c>
      <c r="H204" s="17">
        <v>20.06</v>
      </c>
      <c r="I204" s="17">
        <v>20.06</v>
      </c>
      <c r="J204" s="17">
        <v>20.06</v>
      </c>
      <c r="K204" s="17">
        <v>20.06</v>
      </c>
      <c r="L204" s="17">
        <v>20.06</v>
      </c>
      <c r="M204" s="17">
        <v>20.06</v>
      </c>
      <c r="N204" s="17">
        <v>20.06</v>
      </c>
      <c r="O204" s="17">
        <v>20.06</v>
      </c>
      <c r="P204" s="17">
        <v>20.06</v>
      </c>
      <c r="R204" s="18">
        <f>SUM(E204:P204)</f>
      </c>
      <c r="U204" s="20">
        <v>453.29</v>
      </c>
      <c r="X204" s="21">
        <f>R204/$C$3</f>
      </c>
      <c r="Y204" s="21">
        <f>R204/$C$3/12</f>
      </c>
    </row>
    <row r="205" spans="1:25" s="15" customFormat="1" x14ac:dyDescent="0.25">
      <c r="A205" s="14" t="s">
        <v>453</v>
      </c>
      <c r="B205" s="15" t="s">
        <v>454</v>
      </c>
      <c r="D205" s="16" t="s">
        <v>45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R205" s="18">
        <f>SUM(E205:P205)</f>
      </c>
      <c r="X205" s="21">
        <f>R205/$C$3</f>
      </c>
      <c r="Y205" s="21">
        <f>R205/$C$3/12</f>
      </c>
    </row>
    <row r="206" spans="1:25" s="13" customFormat="1" x14ac:dyDescent="0.25">
      <c r="A206" s="14" t="s">
        <v>455</v>
      </c>
      <c r="B206" s="13" t="s">
        <v>456</v>
      </c>
      <c r="E206" s="22">
        <f>SUM(E187:E205)</f>
      </c>
      <c r="F206" s="22">
        <f>SUM(F187:F205)</f>
      </c>
      <c r="G206" s="22">
        <f>SUM(G187:G205)</f>
      </c>
      <c r="H206" s="22">
        <f>SUM(H187:H205)</f>
      </c>
      <c r="I206" s="22">
        <f>SUM(I187:I205)</f>
      </c>
      <c r="J206" s="22">
        <f>SUM(J187:J205)</f>
      </c>
      <c r="K206" s="22">
        <f>SUM(K187:K205)</f>
      </c>
      <c r="L206" s="22">
        <f>SUM(L187:L205)</f>
      </c>
      <c r="M206" s="22">
        <f>SUM(M187:M205)</f>
      </c>
      <c r="N206" s="22">
        <f>SUM(N187:N205)</f>
      </c>
      <c r="O206" s="22">
        <f>SUM(O187:O205)</f>
      </c>
      <c r="P206" s="22">
        <f>SUM(P187:P205)</f>
      </c>
      <c r="R206" s="22">
        <f>SUM(E206:P206)</f>
      </c>
      <c r="T206" s="19">
        <v>26895</v>
      </c>
      <c r="X206" s="23">
        <f>R206/$C$3</f>
      </c>
      <c r="Y206" s="23">
        <f>R206/$C$3/12</f>
      </c>
    </row>
    <row r="207" spans="1:2" s="13" customFormat="1" x14ac:dyDescent="0.25">
      <c r="A207" s="14" t="s">
        <v>457</v>
      </c>
      <c r="B207" s="13" t="s">
        <v>458</v>
      </c>
    </row>
    <row r="208" spans="1:25" s="15" customFormat="1" x14ac:dyDescent="0.25">
      <c r="A208" s="14" t="s">
        <v>459</v>
      </c>
      <c r="B208" s="15" t="s">
        <v>460</v>
      </c>
      <c r="D208" s="16" t="s">
        <v>45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R208" s="18">
        <f>SUM(E208:P208)</f>
      </c>
      <c r="X208" s="21">
        <f>R208/$C$3</f>
      </c>
      <c r="Y208" s="21">
        <f>R208/$C$3/12</f>
      </c>
    </row>
    <row r="209" spans="1:25" s="15" customFormat="1" x14ac:dyDescent="0.25">
      <c r="A209" s="14" t="s">
        <v>461</v>
      </c>
      <c r="B209" s="15" t="s">
        <v>462</v>
      </c>
      <c r="D209" s="16" t="s">
        <v>463</v>
      </c>
      <c r="E209" s="17">
        <v>89.35</v>
      </c>
      <c r="F209" s="17">
        <v>89.35</v>
      </c>
      <c r="G209" s="17">
        <v>89.35</v>
      </c>
      <c r="H209" s="17">
        <v>89.35</v>
      </c>
      <c r="I209" s="17">
        <v>89.35</v>
      </c>
      <c r="J209" s="17">
        <v>89.35</v>
      </c>
      <c r="K209" s="17">
        <v>89.34</v>
      </c>
      <c r="L209" s="17">
        <v>89.34</v>
      </c>
      <c r="M209" s="17">
        <v>89.34</v>
      </c>
      <c r="N209" s="17">
        <v>89.34</v>
      </c>
      <c r="O209" s="17">
        <v>89.34</v>
      </c>
      <c r="P209" s="17">
        <v>89.34</v>
      </c>
      <c r="R209" s="18">
        <f>SUM(E209:P209)</f>
      </c>
      <c r="U209" s="20">
        <v>1148.35</v>
      </c>
      <c r="X209" s="21">
        <f>R209/$C$3</f>
      </c>
      <c r="Y209" s="21">
        <f>R209/$C$3/12</f>
      </c>
    </row>
    <row r="210" spans="1:25" s="15" customFormat="1" x14ac:dyDescent="0.25">
      <c r="A210" s="14" t="s">
        <v>464</v>
      </c>
      <c r="B210" s="15" t="s">
        <v>465</v>
      </c>
      <c r="D210" s="16" t="s">
        <v>463</v>
      </c>
      <c r="E210" s="17">
        <v>3650.66</v>
      </c>
      <c r="F210" s="17">
        <v>3680.59</v>
      </c>
      <c r="G210" s="17">
        <v>3673.1</v>
      </c>
      <c r="H210" s="17">
        <v>3846.23</v>
      </c>
      <c r="I210" s="17">
        <v>4214.93</v>
      </c>
      <c r="J210" s="17">
        <v>4448.98</v>
      </c>
      <c r="K210" s="17">
        <v>4426.53</v>
      </c>
      <c r="L210" s="17">
        <v>3887.91</v>
      </c>
      <c r="M210" s="17">
        <v>3542.72</v>
      </c>
      <c r="N210" s="17">
        <v>3319.37</v>
      </c>
      <c r="O210" s="17">
        <v>3410.21</v>
      </c>
      <c r="P210" s="17">
        <v>3691.27</v>
      </c>
      <c r="R210" s="18">
        <f>SUM(E210:P210)</f>
      </c>
      <c r="U210" s="20">
        <v>49047.66</v>
      </c>
      <c r="X210" s="21">
        <f>R210/$C$3</f>
      </c>
      <c r="Y210" s="21">
        <f>R210/$C$3/12</f>
      </c>
    </row>
    <row r="211" spans="1:25" s="15" customFormat="1" x14ac:dyDescent="0.25">
      <c r="A211" s="14" t="s">
        <v>466</v>
      </c>
      <c r="B211" s="15" t="s">
        <v>467</v>
      </c>
      <c r="D211" s="16" t="s">
        <v>45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R211" s="18">
        <f>SUM(E211:P211)</f>
      </c>
      <c r="X211" s="21">
        <f>R211/$C$3</f>
      </c>
      <c r="Y211" s="21">
        <f>R211/$C$3/12</f>
      </c>
    </row>
    <row r="212" spans="1:25" s="15" customFormat="1" x14ac:dyDescent="0.25">
      <c r="A212" s="14" t="s">
        <v>468</v>
      </c>
      <c r="B212" s="15" t="s">
        <v>469</v>
      </c>
      <c r="D212" s="16" t="s">
        <v>463</v>
      </c>
      <c r="E212" s="17">
        <v>267.17</v>
      </c>
      <c r="F212" s="17">
        <v>272.52</v>
      </c>
      <c r="G212" s="17">
        <v>315.26</v>
      </c>
      <c r="H212" s="17">
        <v>371.91</v>
      </c>
      <c r="I212" s="17">
        <v>410.38</v>
      </c>
      <c r="J212" s="17">
        <v>395.42</v>
      </c>
      <c r="K212" s="17">
        <v>325.95</v>
      </c>
      <c r="L212" s="17">
        <v>256.49</v>
      </c>
      <c r="M212" s="17">
        <v>240.46</v>
      </c>
      <c r="N212" s="17">
        <v>219.08</v>
      </c>
      <c r="O212" s="17">
        <v>219.08</v>
      </c>
      <c r="P212" s="17">
        <v>261.83</v>
      </c>
      <c r="R212" s="18">
        <f>SUM(E212:P212)</f>
      </c>
      <c r="U212" s="20">
        <v>3808.29</v>
      </c>
      <c r="X212" s="21">
        <f>R212/$C$3</f>
      </c>
      <c r="Y212" s="21">
        <f>R212/$C$3/12</f>
      </c>
    </row>
    <row r="213" spans="1:25" s="15" customFormat="1" x14ac:dyDescent="0.25">
      <c r="A213" s="14" t="s">
        <v>470</v>
      </c>
      <c r="B213" s="15" t="s">
        <v>471</v>
      </c>
      <c r="D213" s="16" t="s">
        <v>45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R213" s="18">
        <f>SUM(E213:P213)</f>
      </c>
      <c r="X213" s="21">
        <f>R213/$C$3</f>
      </c>
      <c r="Y213" s="21">
        <f>R213/$C$3/12</f>
      </c>
    </row>
    <row r="214" spans="1:25" s="15" customFormat="1" x14ac:dyDescent="0.25">
      <c r="A214" s="14" t="s">
        <v>472</v>
      </c>
      <c r="B214" s="15" t="s">
        <v>473</v>
      </c>
      <c r="D214" s="16" t="s">
        <v>463</v>
      </c>
      <c r="E214" s="17">
        <v>1218.31</v>
      </c>
      <c r="F214" s="17">
        <v>1443.81</v>
      </c>
      <c r="G214" s="17">
        <v>1625.48</v>
      </c>
      <c r="H214" s="17">
        <v>2202.58</v>
      </c>
      <c r="I214" s="17">
        <v>2950.66</v>
      </c>
      <c r="J214" s="17">
        <v>3350.36</v>
      </c>
      <c r="K214" s="17">
        <v>3285.17</v>
      </c>
      <c r="L214" s="17">
        <v>2610.82</v>
      </c>
      <c r="M214" s="17">
        <v>2077.54</v>
      </c>
      <c r="N214" s="17">
        <v>1734.49</v>
      </c>
      <c r="O214" s="17">
        <v>1434.19</v>
      </c>
      <c r="P214" s="17">
        <v>1280.3</v>
      </c>
      <c r="R214" s="18">
        <f>SUM(E214:P214)</f>
      </c>
      <c r="U214" s="20">
        <v>27006.03</v>
      </c>
      <c r="X214" s="21">
        <f>R214/$C$3</f>
      </c>
      <c r="Y214" s="21">
        <f>R214/$C$3/12</f>
      </c>
    </row>
    <row r="215" spans="1:25" s="15" customFormat="1" x14ac:dyDescent="0.25">
      <c r="A215" s="14" t="s">
        <v>474</v>
      </c>
      <c r="B215" s="15" t="s">
        <v>475</v>
      </c>
      <c r="D215" s="16" t="s">
        <v>45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R215" s="18">
        <f>SUM(E215:P215)</f>
      </c>
      <c r="X215" s="21">
        <f>R215/$C$3</f>
      </c>
      <c r="Y215" s="21">
        <f>R215/$C$3/12</f>
      </c>
    </row>
    <row r="216" spans="1:25" s="15" customFormat="1" x14ac:dyDescent="0.25">
      <c r="A216" s="14" t="s">
        <v>476</v>
      </c>
      <c r="B216" s="15" t="s">
        <v>477</v>
      </c>
      <c r="D216" s="16" t="s">
        <v>45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R216" s="18">
        <f>SUM(E216:P216)</f>
      </c>
      <c r="X216" s="21">
        <f>R216/$C$3</f>
      </c>
      <c r="Y216" s="21">
        <f>R216/$C$3/12</f>
      </c>
    </row>
    <row r="217" spans="1:25" s="15" customFormat="1" x14ac:dyDescent="0.25">
      <c r="A217" s="14" t="s">
        <v>478</v>
      </c>
      <c r="B217" s="15" t="s">
        <v>479</v>
      </c>
      <c r="D217" s="16" t="s">
        <v>45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R217" s="18">
        <f>SUM(E217:P217)</f>
      </c>
      <c r="X217" s="21">
        <f>R217/$C$3</f>
      </c>
      <c r="Y217" s="21">
        <f>R217/$C$3/12</f>
      </c>
    </row>
    <row r="218" spans="1:25" s="15" customFormat="1" x14ac:dyDescent="0.25">
      <c r="A218" s="14" t="s">
        <v>480</v>
      </c>
      <c r="B218" s="15" t="s">
        <v>481</v>
      </c>
      <c r="D218" s="16" t="s">
        <v>463</v>
      </c>
      <c r="E218" s="17">
        <v>3273.41</v>
      </c>
      <c r="F218" s="17">
        <v>3754.33</v>
      </c>
      <c r="G218" s="17">
        <v>3487.15</v>
      </c>
      <c r="H218" s="17">
        <v>3053.26</v>
      </c>
      <c r="I218" s="17">
        <v>4059.97</v>
      </c>
      <c r="J218" s="17">
        <v>3326.85</v>
      </c>
      <c r="K218" s="17">
        <v>2952.8</v>
      </c>
      <c r="L218" s="17">
        <v>2952.8</v>
      </c>
      <c r="M218" s="17">
        <v>3059.67</v>
      </c>
      <c r="N218" s="17">
        <v>3113.11</v>
      </c>
      <c r="O218" s="17">
        <v>3113.11</v>
      </c>
      <c r="P218" s="17">
        <v>3006.24</v>
      </c>
      <c r="R218" s="18">
        <f>SUM(E218:P218)</f>
      </c>
      <c r="U218" s="20">
        <v>41935.87</v>
      </c>
      <c r="X218" s="21">
        <f>R218/$C$3</f>
      </c>
      <c r="Y218" s="21">
        <f>R218/$C$3/12</f>
      </c>
    </row>
    <row r="219" spans="1:25" s="15" customFormat="1" x14ac:dyDescent="0.25">
      <c r="A219" s="14" t="s">
        <v>482</v>
      </c>
      <c r="B219" s="15" t="s">
        <v>483</v>
      </c>
      <c r="D219" s="16" t="s">
        <v>45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R219" s="18">
        <f>SUM(E219:P219)</f>
      </c>
      <c r="X219" s="21">
        <f>R219/$C$3</f>
      </c>
      <c r="Y219" s="21">
        <f>R219/$C$3/12</f>
      </c>
    </row>
    <row r="220" spans="1:25" s="15" customFormat="1" x14ac:dyDescent="0.25">
      <c r="A220" s="14" t="s">
        <v>484</v>
      </c>
      <c r="B220" s="15" t="s">
        <v>485</v>
      </c>
      <c r="D220" s="16" t="s">
        <v>463</v>
      </c>
      <c r="E220" s="17">
        <v>113.4</v>
      </c>
      <c r="F220" s="17">
        <v>113.4</v>
      </c>
      <c r="G220" s="17">
        <v>113.4</v>
      </c>
      <c r="H220" s="17">
        <v>113.4</v>
      </c>
      <c r="I220" s="17">
        <v>113.4</v>
      </c>
      <c r="J220" s="17">
        <v>113.4</v>
      </c>
      <c r="K220" s="17">
        <v>113.4</v>
      </c>
      <c r="L220" s="17">
        <v>113.4</v>
      </c>
      <c r="M220" s="17">
        <v>113.4</v>
      </c>
      <c r="N220" s="17">
        <v>113.4</v>
      </c>
      <c r="O220" s="17">
        <v>113.4</v>
      </c>
      <c r="P220" s="17">
        <v>113.39</v>
      </c>
      <c r="R220" s="18">
        <f>SUM(E220:P220)</f>
      </c>
      <c r="U220" s="20">
        <v>1457.52</v>
      </c>
      <c r="X220" s="21">
        <f>R220/$C$3</f>
      </c>
      <c r="Y220" s="21">
        <f>R220/$C$3/12</f>
      </c>
    </row>
    <row r="221" spans="1:25" s="15" customFormat="1" x14ac:dyDescent="0.25">
      <c r="A221" s="14" t="s">
        <v>486</v>
      </c>
      <c r="B221" s="15" t="s">
        <v>487</v>
      </c>
      <c r="D221" s="16" t="s">
        <v>45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R221" s="18">
        <f>SUM(E221:P221)</f>
      </c>
      <c r="X221" s="21">
        <f>R221/$C$3</f>
      </c>
      <c r="Y221" s="21">
        <f>R221/$C$3/12</f>
      </c>
    </row>
    <row r="222" spans="1:25" s="15" customFormat="1" x14ac:dyDescent="0.25">
      <c r="A222" s="14" t="s">
        <v>488</v>
      </c>
      <c r="B222" s="15" t="s">
        <v>489</v>
      </c>
      <c r="D222" s="16" t="s">
        <v>463</v>
      </c>
      <c r="E222" s="17">
        <v>613.6</v>
      </c>
      <c r="F222" s="17">
        <v>613.6</v>
      </c>
      <c r="G222" s="17">
        <v>613.6</v>
      </c>
      <c r="H222" s="17">
        <v>613.6</v>
      </c>
      <c r="I222" s="17">
        <v>613.6</v>
      </c>
      <c r="J222" s="17">
        <v>613.6</v>
      </c>
      <c r="K222" s="17">
        <v>613.6</v>
      </c>
      <c r="L222" s="17">
        <v>613.6</v>
      </c>
      <c r="M222" s="17">
        <v>613.6</v>
      </c>
      <c r="N222" s="17">
        <v>613.6</v>
      </c>
      <c r="O222" s="17">
        <v>613.6</v>
      </c>
      <c r="P222" s="17">
        <v>613.59</v>
      </c>
      <c r="R222" s="18">
        <f>SUM(E222:P222)</f>
      </c>
      <c r="U222" s="20">
        <v>7886.61</v>
      </c>
      <c r="X222" s="21">
        <f>R222/$C$3</f>
      </c>
      <c r="Y222" s="21">
        <f>R222/$C$3/12</f>
      </c>
    </row>
    <row r="223" spans="1:25" s="15" customFormat="1" x14ac:dyDescent="0.25">
      <c r="A223" s="14" t="s">
        <v>490</v>
      </c>
      <c r="B223" s="15" t="s">
        <v>491</v>
      </c>
      <c r="D223" s="16" t="s">
        <v>463</v>
      </c>
      <c r="E223" s="17">
        <v>305.11</v>
      </c>
      <c r="F223" s="17">
        <v>305.11</v>
      </c>
      <c r="G223" s="17">
        <v>305.11</v>
      </c>
      <c r="H223" s="17">
        <v>305.11</v>
      </c>
      <c r="I223" s="17">
        <v>305.11</v>
      </c>
      <c r="J223" s="17">
        <v>305.11</v>
      </c>
      <c r="K223" s="17">
        <v>305.11</v>
      </c>
      <c r="L223" s="17">
        <v>305.11</v>
      </c>
      <c r="M223" s="17">
        <v>305.11</v>
      </c>
      <c r="N223" s="17">
        <v>305.11</v>
      </c>
      <c r="O223" s="17">
        <v>305.11</v>
      </c>
      <c r="P223" s="17">
        <v>305.11</v>
      </c>
      <c r="R223" s="18">
        <f>SUM(E223:P223)</f>
      </c>
      <c r="U223" s="20">
        <v>3921.59</v>
      </c>
      <c r="X223" s="21">
        <f>R223/$C$3</f>
      </c>
      <c r="Y223" s="21">
        <f>R223/$C$3/12</f>
      </c>
    </row>
    <row r="224" spans="1:25" s="15" customFormat="1" x14ac:dyDescent="0.25">
      <c r="A224" s="14" t="s">
        <v>492</v>
      </c>
      <c r="B224" s="15" t="s">
        <v>493</v>
      </c>
      <c r="D224" s="16" t="s">
        <v>463</v>
      </c>
      <c r="E224" s="17">
        <v>2063.65</v>
      </c>
      <c r="F224" s="17">
        <v>2010.22</v>
      </c>
      <c r="G224" s="17">
        <v>1956.78</v>
      </c>
      <c r="H224" s="17">
        <v>1946.09</v>
      </c>
      <c r="I224" s="17">
        <v>2179.07</v>
      </c>
      <c r="J224" s="17">
        <v>2063.65</v>
      </c>
      <c r="K224" s="17">
        <v>2063.65</v>
      </c>
      <c r="L224" s="17">
        <v>2063.65</v>
      </c>
      <c r="M224" s="17">
        <v>2010.22</v>
      </c>
      <c r="N224" s="17">
        <v>2010.21</v>
      </c>
      <c r="O224" s="17">
        <v>2010.21</v>
      </c>
      <c r="P224" s="17">
        <v>2063.65</v>
      </c>
      <c r="R224" s="18">
        <f>SUM(E224:P224)</f>
      </c>
      <c r="U224" s="20">
        <v>26178.44</v>
      </c>
      <c r="X224" s="21">
        <f>R224/$C$3</f>
      </c>
      <c r="Y224" s="21">
        <f>R224/$C$3/12</f>
      </c>
    </row>
    <row r="225" spans="1:25" s="15" customFormat="1" x14ac:dyDescent="0.25">
      <c r="A225" s="14" t="s">
        <v>494</v>
      </c>
      <c r="B225" s="15" t="s">
        <v>495</v>
      </c>
      <c r="D225" s="16" t="s">
        <v>45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R225" s="18">
        <f>SUM(E225:P225)</f>
      </c>
      <c r="X225" s="21">
        <f>R225/$C$3</f>
      </c>
      <c r="Y225" s="21">
        <f>R225/$C$3/12</f>
      </c>
    </row>
    <row r="226" spans="1:25" s="15" customFormat="1" x14ac:dyDescent="0.25">
      <c r="A226" s="14" t="s">
        <v>496</v>
      </c>
      <c r="B226" s="15" t="s">
        <v>497</v>
      </c>
      <c r="D226" s="16" t="s">
        <v>463</v>
      </c>
      <c r="E226" s="17">
        <v>3101.35</v>
      </c>
      <c r="F226" s="17">
        <v>3475.39</v>
      </c>
      <c r="G226" s="17">
        <v>3315.09</v>
      </c>
      <c r="H226" s="17">
        <v>2887.61</v>
      </c>
      <c r="I226" s="17">
        <v>3528.83</v>
      </c>
      <c r="J226" s="17">
        <v>3101.35</v>
      </c>
      <c r="K226" s="17">
        <v>2887.61</v>
      </c>
      <c r="L226" s="17">
        <v>2834.18</v>
      </c>
      <c r="M226" s="17">
        <v>2834.18</v>
      </c>
      <c r="N226" s="17">
        <v>2941.05</v>
      </c>
      <c r="O226" s="17">
        <v>3047.92</v>
      </c>
      <c r="P226" s="17">
        <v>2941.05</v>
      </c>
      <c r="R226" s="18">
        <f>SUM(E226:P226)</f>
      </c>
      <c r="U226" s="20">
        <v>39518.34</v>
      </c>
      <c r="X226" s="21">
        <f>R226/$C$3</f>
      </c>
      <c r="Y226" s="21">
        <f>R226/$C$3/12</f>
      </c>
    </row>
    <row r="227" spans="1:25" s="15" customFormat="1" x14ac:dyDescent="0.25">
      <c r="A227" s="14" t="s">
        <v>498</v>
      </c>
      <c r="B227" s="15" t="s">
        <v>499</v>
      </c>
      <c r="D227" s="16" t="s">
        <v>45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R227" s="18">
        <f>SUM(E227:P227)</f>
      </c>
      <c r="X227" s="21">
        <f>R227/$C$3</f>
      </c>
      <c r="Y227" s="21">
        <f>R227/$C$3/12</f>
      </c>
    </row>
    <row r="228" spans="1:25" s="15" customFormat="1" x14ac:dyDescent="0.25">
      <c r="A228" s="14" t="s">
        <v>500</v>
      </c>
      <c r="B228" s="15" t="s">
        <v>501</v>
      </c>
      <c r="D228" s="16" t="s">
        <v>45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R228" s="18">
        <f>SUM(E228:P228)</f>
      </c>
      <c r="X228" s="21">
        <f>R228/$C$3</f>
      </c>
      <c r="Y228" s="21">
        <f>R228/$C$3/12</f>
      </c>
    </row>
    <row r="229" spans="1:25" s="15" customFormat="1" x14ac:dyDescent="0.25">
      <c r="A229" s="14" t="s">
        <v>502</v>
      </c>
      <c r="B229" s="15" t="s">
        <v>503</v>
      </c>
      <c r="D229" s="16" t="s">
        <v>45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R229" s="18">
        <f>SUM(E229:P229)</f>
      </c>
      <c r="X229" s="21">
        <f>R229/$C$3</f>
      </c>
      <c r="Y229" s="21">
        <f>R229/$C$3/12</f>
      </c>
    </row>
    <row r="230" spans="1:25" s="15" customFormat="1" x14ac:dyDescent="0.25">
      <c r="A230" s="14" t="s">
        <v>504</v>
      </c>
      <c r="B230" s="15" t="s">
        <v>505</v>
      </c>
      <c r="D230" s="16" t="s">
        <v>45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R230" s="18">
        <f>SUM(E230:P230)</f>
      </c>
      <c r="X230" s="21">
        <f>R230/$C$3</f>
      </c>
      <c r="Y230" s="21">
        <f>R230/$C$3/12</f>
      </c>
    </row>
    <row r="231" spans="1:25" s="13" customFormat="1" x14ac:dyDescent="0.25">
      <c r="A231" s="14" t="s">
        <v>506</v>
      </c>
      <c r="B231" s="13" t="s">
        <v>507</v>
      </c>
      <c r="E231" s="22">
        <f>SUM(E208:E230)</f>
      </c>
      <c r="F231" s="22">
        <f>SUM(F208:F230)</f>
      </c>
      <c r="G231" s="22">
        <f>SUM(G208:G230)</f>
      </c>
      <c r="H231" s="22">
        <f>SUM(H208:H230)</f>
      </c>
      <c r="I231" s="22">
        <f>SUM(I208:I230)</f>
      </c>
      <c r="J231" s="22">
        <f>SUM(J208:J230)</f>
      </c>
      <c r="K231" s="22">
        <f>SUM(K208:K230)</f>
      </c>
      <c r="L231" s="22">
        <f>SUM(L208:L230)</f>
      </c>
      <c r="M231" s="22">
        <f>SUM(M208:M230)</f>
      </c>
      <c r="N231" s="22">
        <f>SUM(N208:N230)</f>
      </c>
      <c r="O231" s="22">
        <f>SUM(O208:O230)</f>
      </c>
      <c r="P231" s="22">
        <f>SUM(P208:P230)</f>
      </c>
      <c r="R231" s="22">
        <f>SUM(E231:P231)</f>
      </c>
      <c r="T231" s="19">
        <v>188508.5606</v>
      </c>
      <c r="X231" s="23">
        <f>R231/$C$3</f>
      </c>
      <c r="Y231" s="23">
        <f>R231/$C$3/12</f>
      </c>
    </row>
    <row r="232" spans="1:2" s="13" customFormat="1" x14ac:dyDescent="0.25">
      <c r="A232" s="14" t="s">
        <v>508</v>
      </c>
      <c r="B232" s="13" t="s">
        <v>509</v>
      </c>
    </row>
    <row r="233" spans="1:2" s="13" customFormat="1" x14ac:dyDescent="0.25">
      <c r="A233" s="14" t="s">
        <v>510</v>
      </c>
      <c r="B233" s="13" t="s">
        <v>511</v>
      </c>
    </row>
    <row r="234" spans="1:25" s="15" customFormat="1" x14ac:dyDescent="0.25">
      <c r="A234" s="14" t="s">
        <v>512</v>
      </c>
      <c r="B234" s="15" t="s">
        <v>513</v>
      </c>
      <c r="D234" s="16" t="s">
        <v>514</v>
      </c>
      <c r="E234" s="17">
        <v>105.34</v>
      </c>
      <c r="F234" s="17">
        <v>139.1</v>
      </c>
      <c r="G234" s="17">
        <v>196.49</v>
      </c>
      <c r="H234" s="17">
        <v>166.78</v>
      </c>
      <c r="I234" s="17">
        <v>126.27</v>
      </c>
      <c r="J234" s="17">
        <v>122.22</v>
      </c>
      <c r="K234" s="17">
        <v>132.34</v>
      </c>
      <c r="L234" s="17">
        <v>213.38</v>
      </c>
      <c r="M234" s="17">
        <v>280.89</v>
      </c>
      <c r="N234" s="17">
        <v>223.5</v>
      </c>
      <c r="O234" s="17">
        <v>169.48</v>
      </c>
      <c r="P234" s="17">
        <v>145.85</v>
      </c>
      <c r="R234" s="18">
        <f>SUM(E234:P234)</f>
      </c>
      <c r="U234" s="20">
        <v>3427.12</v>
      </c>
      <c r="X234" s="21">
        <f>R234/$C$3</f>
      </c>
      <c r="Y234" s="21">
        <f>R234/$C$3/12</f>
      </c>
    </row>
    <row r="235" spans="1:25" s="15" customFormat="1" x14ac:dyDescent="0.25">
      <c r="A235" s="14" t="s">
        <v>515</v>
      </c>
      <c r="B235" s="15" t="s">
        <v>516</v>
      </c>
      <c r="D235" s="16" t="s">
        <v>514</v>
      </c>
      <c r="E235" s="17">
        <v>51.32</v>
      </c>
      <c r="F235" s="17">
        <v>51.32</v>
      </c>
      <c r="G235" s="17">
        <v>51.32</v>
      </c>
      <c r="H235" s="17">
        <v>51.32</v>
      </c>
      <c r="I235" s="17">
        <v>51.32</v>
      </c>
      <c r="J235" s="17">
        <v>51.32</v>
      </c>
      <c r="K235" s="17">
        <v>51.31</v>
      </c>
      <c r="L235" s="17">
        <v>51.31</v>
      </c>
      <c r="M235" s="17">
        <v>51.31</v>
      </c>
      <c r="N235" s="17">
        <v>51.31</v>
      </c>
      <c r="O235" s="17">
        <v>51.31</v>
      </c>
      <c r="P235" s="17">
        <v>51.31</v>
      </c>
      <c r="R235" s="18">
        <f>SUM(E235:P235)</f>
      </c>
      <c r="U235" s="20">
        <v>1043.93</v>
      </c>
      <c r="X235" s="21">
        <f>R235/$C$3</f>
      </c>
      <c r="Y235" s="21">
        <f>R235/$C$3/12</f>
      </c>
    </row>
    <row r="236" spans="1:25" s="15" customFormat="1" x14ac:dyDescent="0.25">
      <c r="A236" s="14" t="s">
        <v>517</v>
      </c>
      <c r="B236" s="15" t="s">
        <v>518</v>
      </c>
      <c r="D236" s="16" t="s">
        <v>45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R236" s="18">
        <f>SUM(E236:P236)</f>
      </c>
      <c r="X236" s="21">
        <f>R236/$C$3</f>
      </c>
      <c r="Y236" s="21">
        <f>R236/$C$3/12</f>
      </c>
    </row>
    <row r="237" spans="1:25" s="15" customFormat="1" x14ac:dyDescent="0.25">
      <c r="A237" s="14" t="s">
        <v>519</v>
      </c>
      <c r="B237" s="15" t="s">
        <v>520</v>
      </c>
      <c r="D237" s="16" t="s">
        <v>514</v>
      </c>
      <c r="E237" s="17">
        <v>21.61</v>
      </c>
      <c r="F237" s="17">
        <v>28.36</v>
      </c>
      <c r="G237" s="17">
        <v>95.88</v>
      </c>
      <c r="H237" s="17">
        <v>21.61</v>
      </c>
      <c r="I237" s="17">
        <v>70.22</v>
      </c>
      <c r="J237" s="17">
        <v>21.61</v>
      </c>
      <c r="K237" s="17">
        <v>54.01</v>
      </c>
      <c r="L237" s="17">
        <v>21.61</v>
      </c>
      <c r="M237" s="17">
        <v>21.61</v>
      </c>
      <c r="N237" s="17">
        <v>21.61</v>
      </c>
      <c r="O237" s="17">
        <v>21.61</v>
      </c>
      <c r="P237" s="17">
        <v>21.61</v>
      </c>
      <c r="R237" s="18">
        <f>SUM(E237:P237)</f>
      </c>
      <c r="U237" s="20">
        <v>714.27</v>
      </c>
      <c r="X237" s="21">
        <f>R237/$C$3</f>
      </c>
      <c r="Y237" s="21">
        <f>R237/$C$3/12</f>
      </c>
    </row>
    <row r="238" spans="1:25" s="15" customFormat="1" x14ac:dyDescent="0.25">
      <c r="A238" s="14" t="s">
        <v>521</v>
      </c>
      <c r="B238" s="15" t="s">
        <v>522</v>
      </c>
      <c r="D238" s="16" t="s">
        <v>514</v>
      </c>
      <c r="E238" s="17">
        <v>139.77</v>
      </c>
      <c r="F238" s="17">
        <v>108.71</v>
      </c>
      <c r="G238" s="17">
        <v>155.98</v>
      </c>
      <c r="H238" s="17">
        <v>97.91</v>
      </c>
      <c r="I238" s="17">
        <v>130.32</v>
      </c>
      <c r="J238" s="17">
        <v>131.67</v>
      </c>
      <c r="K238" s="17">
        <v>142.47</v>
      </c>
      <c r="L238" s="17">
        <v>226.2</v>
      </c>
      <c r="M238" s="17">
        <v>112.77</v>
      </c>
      <c r="N238" s="17">
        <v>151.92</v>
      </c>
      <c r="O238" s="17">
        <v>164.08</v>
      </c>
      <c r="P238" s="17">
        <v>114.11</v>
      </c>
      <c r="R238" s="18">
        <f>SUM(E238:P238)</f>
      </c>
      <c r="U238" s="20">
        <v>2841.05</v>
      </c>
      <c r="X238" s="21">
        <f>R238/$C$3</f>
      </c>
      <c r="Y238" s="21">
        <f>R238/$C$3/12</f>
      </c>
    </row>
    <row r="239" spans="1:25" s="15" customFormat="1" x14ac:dyDescent="0.25">
      <c r="A239" s="14" t="s">
        <v>523</v>
      </c>
      <c r="B239" s="15" t="s">
        <v>524</v>
      </c>
      <c r="D239" s="16" t="s">
        <v>514</v>
      </c>
      <c r="E239" s="17">
        <v>24.8</v>
      </c>
      <c r="F239" s="17">
        <v>24.8</v>
      </c>
      <c r="G239" s="17">
        <v>24.8</v>
      </c>
      <c r="H239" s="17">
        <v>24.8</v>
      </c>
      <c r="I239" s="17">
        <v>24.8</v>
      </c>
      <c r="J239" s="17">
        <v>24.8</v>
      </c>
      <c r="K239" s="17">
        <v>24.8</v>
      </c>
      <c r="L239" s="17">
        <v>24.79</v>
      </c>
      <c r="M239" s="17">
        <v>24.79</v>
      </c>
      <c r="N239" s="17">
        <v>24.79</v>
      </c>
      <c r="O239" s="17">
        <v>24.79</v>
      </c>
      <c r="P239" s="17">
        <v>24.79</v>
      </c>
      <c r="R239" s="18">
        <f>SUM(E239:P239)</f>
      </c>
      <c r="U239" s="20">
        <v>504.36</v>
      </c>
      <c r="X239" s="21">
        <f>R239/$C$3</f>
      </c>
      <c r="Y239" s="21">
        <f>R239/$C$3/12</f>
      </c>
    </row>
    <row r="240" spans="1:25" s="15" customFormat="1" x14ac:dyDescent="0.25">
      <c r="A240" s="14" t="s">
        <v>525</v>
      </c>
      <c r="B240" s="15" t="s">
        <v>526</v>
      </c>
      <c r="D240" s="16" t="s">
        <v>45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R240" s="18">
        <f>SUM(E240:P240)</f>
      </c>
      <c r="X240" s="21">
        <f>R240/$C$3</f>
      </c>
      <c r="Y240" s="21">
        <f>R240/$C$3/12</f>
      </c>
    </row>
    <row r="241" spans="1:25" s="15" customFormat="1" x14ac:dyDescent="0.25">
      <c r="A241" s="14" t="s">
        <v>527</v>
      </c>
      <c r="B241" s="15" t="s">
        <v>528</v>
      </c>
      <c r="D241" s="16" t="s">
        <v>45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R241" s="18">
        <f>SUM(E241:P241)</f>
      </c>
      <c r="X241" s="21">
        <f>R241/$C$3</f>
      </c>
      <c r="Y241" s="21">
        <f>R241/$C$3/12</f>
      </c>
    </row>
    <row r="242" spans="1:25" s="15" customFormat="1" x14ac:dyDescent="0.25">
      <c r="A242" s="14" t="s">
        <v>529</v>
      </c>
      <c r="B242" s="15" t="s">
        <v>530</v>
      </c>
      <c r="D242" s="16" t="s">
        <v>514</v>
      </c>
      <c r="E242" s="17">
        <v>90.8</v>
      </c>
      <c r="F242" s="17">
        <v>90.8</v>
      </c>
      <c r="G242" s="17">
        <v>90.8</v>
      </c>
      <c r="H242" s="17">
        <v>90.8</v>
      </c>
      <c r="I242" s="17">
        <v>90.8</v>
      </c>
      <c r="J242" s="17">
        <v>90.8</v>
      </c>
      <c r="K242" s="17">
        <v>90.8</v>
      </c>
      <c r="L242" s="17">
        <v>90.8</v>
      </c>
      <c r="M242" s="17">
        <v>90.8</v>
      </c>
      <c r="N242" s="17">
        <v>90.8</v>
      </c>
      <c r="O242" s="17">
        <v>90.79</v>
      </c>
      <c r="P242" s="17">
        <v>90.79</v>
      </c>
      <c r="R242" s="18">
        <f>SUM(E242:P242)</f>
      </c>
      <c r="U242" s="20">
        <v>1846.99</v>
      </c>
      <c r="X242" s="21">
        <f>R242/$C$3</f>
      </c>
      <c r="Y242" s="21">
        <f>R242/$C$3/12</f>
      </c>
    </row>
    <row r="243" spans="1:25" s="15" customFormat="1" x14ac:dyDescent="0.25">
      <c r="A243" s="14" t="s">
        <v>531</v>
      </c>
      <c r="B243" s="15" t="s">
        <v>532</v>
      </c>
      <c r="D243" s="16" t="s">
        <v>514</v>
      </c>
      <c r="E243" s="17">
        <v>132.13</v>
      </c>
      <c r="F243" s="17">
        <v>132.13</v>
      </c>
      <c r="G243" s="17">
        <v>132.13</v>
      </c>
      <c r="H243" s="17">
        <v>132.13</v>
      </c>
      <c r="I243" s="17">
        <v>132.12</v>
      </c>
      <c r="J243" s="17">
        <v>132.12</v>
      </c>
      <c r="K243" s="17">
        <v>132.12</v>
      </c>
      <c r="L243" s="17">
        <v>132.12</v>
      </c>
      <c r="M243" s="17">
        <v>132.12</v>
      </c>
      <c r="N243" s="17">
        <v>132.12</v>
      </c>
      <c r="O243" s="17">
        <v>132.12</v>
      </c>
      <c r="P243" s="17">
        <v>132.12</v>
      </c>
      <c r="R243" s="18">
        <f>SUM(E243:P243)</f>
      </c>
      <c r="U243" s="20">
        <v>2687.8</v>
      </c>
      <c r="X243" s="21">
        <f>R243/$C$3</f>
      </c>
      <c r="Y243" s="21">
        <f>R243/$C$3/12</f>
      </c>
    </row>
    <row r="244" spans="1:25" s="15" customFormat="1" x14ac:dyDescent="0.25">
      <c r="A244" s="14" t="s">
        <v>533</v>
      </c>
      <c r="B244" s="15" t="s">
        <v>534</v>
      </c>
      <c r="D244" s="16" t="s">
        <v>514</v>
      </c>
      <c r="E244" s="17">
        <v>212.02</v>
      </c>
      <c r="F244" s="17">
        <v>212.02</v>
      </c>
      <c r="G244" s="17">
        <v>212.02</v>
      </c>
      <c r="H244" s="17">
        <v>212.02</v>
      </c>
      <c r="I244" s="17">
        <v>212.02</v>
      </c>
      <c r="J244" s="17">
        <v>212.02</v>
      </c>
      <c r="K244" s="17">
        <v>212.02</v>
      </c>
      <c r="L244" s="17">
        <v>212.02</v>
      </c>
      <c r="M244" s="17">
        <v>212.02</v>
      </c>
      <c r="N244" s="17">
        <v>212.02</v>
      </c>
      <c r="O244" s="17">
        <v>212.02</v>
      </c>
      <c r="P244" s="17">
        <v>212.02</v>
      </c>
      <c r="R244" s="18">
        <f>SUM(E244:P244)</f>
      </c>
      <c r="U244" s="20">
        <v>4313.09</v>
      </c>
      <c r="X244" s="21">
        <f>R244/$C$3</f>
      </c>
      <c r="Y244" s="21">
        <f>R244/$C$3/12</f>
      </c>
    </row>
    <row r="245" spans="1:25" s="15" customFormat="1" x14ac:dyDescent="0.25">
      <c r="A245" s="14" t="s">
        <v>535</v>
      </c>
      <c r="B245" s="15" t="s">
        <v>536</v>
      </c>
      <c r="D245" s="16" t="s">
        <v>514</v>
      </c>
      <c r="E245" s="17">
        <v>63.92</v>
      </c>
      <c r="F245" s="17">
        <v>63.92</v>
      </c>
      <c r="G245" s="17">
        <v>63.92</v>
      </c>
      <c r="H245" s="17">
        <v>63.92</v>
      </c>
      <c r="I245" s="17">
        <v>63.92</v>
      </c>
      <c r="J245" s="17">
        <v>63.92</v>
      </c>
      <c r="K245" s="17">
        <v>63.92</v>
      </c>
      <c r="L245" s="17">
        <v>63.92</v>
      </c>
      <c r="M245" s="17">
        <v>63.92</v>
      </c>
      <c r="N245" s="17">
        <v>63.91</v>
      </c>
      <c r="O245" s="17">
        <v>63.91</v>
      </c>
      <c r="P245" s="17">
        <v>63.91</v>
      </c>
      <c r="R245" s="18">
        <f>SUM(E245:P245)</f>
      </c>
      <c r="U245" s="20">
        <v>1300.27</v>
      </c>
      <c r="X245" s="21">
        <f>R245/$C$3</f>
      </c>
      <c r="Y245" s="21">
        <f>R245/$C$3/12</f>
      </c>
    </row>
    <row r="246" spans="1:25" s="15" customFormat="1" x14ac:dyDescent="0.25">
      <c r="A246" s="14" t="s">
        <v>537</v>
      </c>
      <c r="B246" s="15" t="s">
        <v>538</v>
      </c>
      <c r="D246" s="16" t="s">
        <v>514</v>
      </c>
      <c r="E246" s="17">
        <v>211.73</v>
      </c>
      <c r="F246" s="17">
        <v>211.73</v>
      </c>
      <c r="G246" s="17">
        <v>211.73</v>
      </c>
      <c r="H246" s="17">
        <v>211.73</v>
      </c>
      <c r="I246" s="17">
        <v>211.73</v>
      </c>
      <c r="J246" s="17">
        <v>211.73</v>
      </c>
      <c r="K246" s="17">
        <v>211.73</v>
      </c>
      <c r="L246" s="17">
        <v>211.73</v>
      </c>
      <c r="M246" s="17">
        <v>211.73</v>
      </c>
      <c r="N246" s="17">
        <v>211.73</v>
      </c>
      <c r="O246" s="17">
        <v>211.73</v>
      </c>
      <c r="P246" s="17">
        <v>211.73</v>
      </c>
      <c r="R246" s="18">
        <f>SUM(E246:P246)</f>
      </c>
      <c r="U246" s="20">
        <v>4307.18</v>
      </c>
      <c r="X246" s="21">
        <f>R246/$C$3</f>
      </c>
      <c r="Y246" s="21">
        <f>R246/$C$3/12</f>
      </c>
    </row>
    <row r="247" spans="1:25" s="15" customFormat="1" x14ac:dyDescent="0.25">
      <c r="A247" s="14" t="s">
        <v>539</v>
      </c>
      <c r="B247" s="15" t="s">
        <v>540</v>
      </c>
      <c r="D247" s="16" t="s">
        <v>514</v>
      </c>
      <c r="E247" s="17">
        <v>214.72</v>
      </c>
      <c r="F247" s="17">
        <v>191.09</v>
      </c>
      <c r="G247" s="17">
        <v>120.19</v>
      </c>
      <c r="H247" s="17">
        <v>153.95</v>
      </c>
      <c r="I247" s="17">
        <v>135.05</v>
      </c>
      <c r="J247" s="17">
        <v>147.2</v>
      </c>
      <c r="K247" s="17">
        <v>116.82</v>
      </c>
      <c r="L247" s="17">
        <v>349.77</v>
      </c>
      <c r="M247" s="17">
        <v>349.77</v>
      </c>
      <c r="N247" s="17">
        <v>349.77</v>
      </c>
      <c r="O247" s="17">
        <v>349.77</v>
      </c>
      <c r="P247" s="17">
        <v>349.77</v>
      </c>
      <c r="R247" s="18">
        <f>SUM(E247:P247)</f>
      </c>
      <c r="U247" s="20">
        <v>4793.85</v>
      </c>
      <c r="X247" s="21">
        <f>R247/$C$3</f>
      </c>
      <c r="Y247" s="21">
        <f>R247/$C$3/12</f>
      </c>
    </row>
    <row r="248" spans="1:25" s="15" customFormat="1" x14ac:dyDescent="0.25">
      <c r="A248" s="14" t="s">
        <v>541</v>
      </c>
      <c r="B248" s="15" t="s">
        <v>542</v>
      </c>
      <c r="D248" s="16" t="s">
        <v>514</v>
      </c>
      <c r="E248" s="17">
        <v>270.32</v>
      </c>
      <c r="F248" s="17">
        <v>270.32</v>
      </c>
      <c r="G248" s="17">
        <v>270.32</v>
      </c>
      <c r="H248" s="17">
        <v>270.32</v>
      </c>
      <c r="I248" s="17">
        <v>270.32</v>
      </c>
      <c r="J248" s="17">
        <v>270.32</v>
      </c>
      <c r="K248" s="17">
        <v>270.32</v>
      </c>
      <c r="L248" s="17">
        <v>270.32</v>
      </c>
      <c r="M248" s="17">
        <v>270.32</v>
      </c>
      <c r="N248" s="17">
        <v>270.32</v>
      </c>
      <c r="O248" s="17">
        <v>270.31</v>
      </c>
      <c r="P248" s="17">
        <v>270.31</v>
      </c>
      <c r="R248" s="18">
        <f>SUM(E248:P248)</f>
      </c>
      <c r="U248" s="20">
        <v>5498.86</v>
      </c>
      <c r="X248" s="21">
        <f>R248/$C$3</f>
      </c>
      <c r="Y248" s="21">
        <f>R248/$C$3/12</f>
      </c>
    </row>
    <row r="249" spans="1:25" s="15" customFormat="1" x14ac:dyDescent="0.25">
      <c r="A249" s="14" t="s">
        <v>543</v>
      </c>
      <c r="B249" s="15" t="s">
        <v>544</v>
      </c>
      <c r="D249" s="16" t="s">
        <v>514</v>
      </c>
      <c r="E249" s="17">
        <v>81.98</v>
      </c>
      <c r="F249" s="17">
        <v>81.98</v>
      </c>
      <c r="G249" s="17">
        <v>81.98</v>
      </c>
      <c r="H249" s="17">
        <v>81.98</v>
      </c>
      <c r="I249" s="17">
        <v>81.98</v>
      </c>
      <c r="J249" s="17">
        <v>81.98</v>
      </c>
      <c r="K249" s="17">
        <v>81.98</v>
      </c>
      <c r="L249" s="17">
        <v>81.98</v>
      </c>
      <c r="M249" s="17">
        <v>81.98</v>
      </c>
      <c r="N249" s="17">
        <v>81.98</v>
      </c>
      <c r="O249" s="17">
        <v>81.98</v>
      </c>
      <c r="P249" s="17">
        <v>81.98</v>
      </c>
      <c r="R249" s="18">
        <f>SUM(E249:P249)</f>
      </c>
      <c r="U249" s="20">
        <v>1667.76</v>
      </c>
      <c r="X249" s="21">
        <f>R249/$C$3</f>
      </c>
      <c r="Y249" s="21">
        <f>R249/$C$3/12</f>
      </c>
    </row>
    <row r="250" spans="1:25" s="15" customFormat="1" x14ac:dyDescent="0.25">
      <c r="A250" s="14" t="s">
        <v>545</v>
      </c>
      <c r="B250" s="15" t="s">
        <v>546</v>
      </c>
      <c r="D250" s="16" t="s">
        <v>514</v>
      </c>
      <c r="E250" s="17">
        <v>22.51</v>
      </c>
      <c r="F250" s="17">
        <v>22.51</v>
      </c>
      <c r="G250" s="17">
        <v>22.51</v>
      </c>
      <c r="H250" s="17">
        <v>22.51</v>
      </c>
      <c r="I250" s="17">
        <v>22.51</v>
      </c>
      <c r="J250" s="17">
        <v>22.51</v>
      </c>
      <c r="K250" s="17">
        <v>22.51</v>
      </c>
      <c r="L250" s="17">
        <v>22.51</v>
      </c>
      <c r="M250" s="17">
        <v>22.51</v>
      </c>
      <c r="N250" s="17">
        <v>22.51</v>
      </c>
      <c r="O250" s="17">
        <v>22.51</v>
      </c>
      <c r="P250" s="17">
        <v>22.51</v>
      </c>
      <c r="R250" s="18">
        <f>SUM(E250:P250)</f>
      </c>
      <c r="U250" s="20">
        <v>457.87</v>
      </c>
      <c r="X250" s="21">
        <f>R250/$C$3</f>
      </c>
      <c r="Y250" s="21">
        <f>R250/$C$3/12</f>
      </c>
    </row>
    <row r="251" spans="1:25" s="15" customFormat="1" x14ac:dyDescent="0.25">
      <c r="A251" s="14" t="s">
        <v>547</v>
      </c>
      <c r="B251" s="15" t="s">
        <v>548</v>
      </c>
      <c r="D251" s="16" t="s">
        <v>514</v>
      </c>
      <c r="E251" s="17">
        <v>334.24</v>
      </c>
      <c r="F251" s="17">
        <v>64.15</v>
      </c>
      <c r="G251" s="17">
        <v>64.15</v>
      </c>
      <c r="H251" s="17">
        <v>64.15</v>
      </c>
      <c r="I251" s="17">
        <v>64.15</v>
      </c>
      <c r="J251" s="17">
        <v>64.15</v>
      </c>
      <c r="K251" s="17">
        <v>81.71</v>
      </c>
      <c r="L251" s="17">
        <v>77.66</v>
      </c>
      <c r="M251" s="17">
        <v>334.24</v>
      </c>
      <c r="N251" s="17">
        <v>334.24</v>
      </c>
      <c r="O251" s="17">
        <v>334.24</v>
      </c>
      <c r="P251" s="17">
        <v>334.24</v>
      </c>
      <c r="R251" s="18">
        <f>SUM(E251:P251)</f>
      </c>
      <c r="U251" s="20">
        <v>3646.9</v>
      </c>
      <c r="X251" s="21">
        <f>R251/$C$3</f>
      </c>
      <c r="Y251" s="21">
        <f>R251/$C$3/12</f>
      </c>
    </row>
    <row r="252" spans="1:25" s="15" customFormat="1" x14ac:dyDescent="0.25">
      <c r="A252" s="14" t="s">
        <v>549</v>
      </c>
      <c r="B252" s="15" t="s">
        <v>550</v>
      </c>
      <c r="D252" s="16" t="s">
        <v>514</v>
      </c>
      <c r="E252" s="17">
        <v>39.01</v>
      </c>
      <c r="F252" s="17">
        <v>39.01</v>
      </c>
      <c r="G252" s="17">
        <v>39.01</v>
      </c>
      <c r="H252" s="17">
        <v>39.01</v>
      </c>
      <c r="I252" s="17">
        <v>39.01</v>
      </c>
      <c r="J252" s="17">
        <v>39.01</v>
      </c>
      <c r="K252" s="17">
        <v>39.01</v>
      </c>
      <c r="L252" s="17">
        <v>39.01</v>
      </c>
      <c r="M252" s="17">
        <v>39.01</v>
      </c>
      <c r="N252" s="17">
        <v>39</v>
      </c>
      <c r="O252" s="17">
        <v>39</v>
      </c>
      <c r="P252" s="17">
        <v>39</v>
      </c>
      <c r="R252" s="18">
        <f>SUM(E252:P252)</f>
      </c>
      <c r="U252" s="20">
        <v>793.44</v>
      </c>
      <c r="X252" s="21">
        <f>R252/$C$3</f>
      </c>
      <c r="Y252" s="21">
        <f>R252/$C$3/12</f>
      </c>
    </row>
    <row r="253" spans="1:25" s="15" customFormat="1" x14ac:dyDescent="0.25">
      <c r="A253" s="14" t="s">
        <v>551</v>
      </c>
      <c r="B253" s="15" t="s">
        <v>552</v>
      </c>
      <c r="D253" s="16" t="s">
        <v>514</v>
      </c>
      <c r="E253" s="17">
        <v>3.38</v>
      </c>
      <c r="F253" s="17">
        <v>3.38</v>
      </c>
      <c r="G253" s="17">
        <v>3.38</v>
      </c>
      <c r="H253" s="17">
        <v>3.38</v>
      </c>
      <c r="I253" s="17">
        <v>3.38</v>
      </c>
      <c r="J253" s="17">
        <v>3.38</v>
      </c>
      <c r="K253" s="17">
        <v>3.38</v>
      </c>
      <c r="L253" s="17">
        <v>3.37</v>
      </c>
      <c r="M253" s="17">
        <v>3.37</v>
      </c>
      <c r="N253" s="17">
        <v>3.37</v>
      </c>
      <c r="O253" s="17">
        <v>3.37</v>
      </c>
      <c r="P253" s="17">
        <v>3.37</v>
      </c>
      <c r="R253" s="18">
        <f>SUM(E253:P253)</f>
      </c>
      <c r="U253" s="20">
        <v>68.68</v>
      </c>
      <c r="X253" s="21">
        <f>R253/$C$3</f>
      </c>
      <c r="Y253" s="21">
        <f>R253/$C$3/12</f>
      </c>
    </row>
    <row r="254" spans="1:25" s="15" customFormat="1" x14ac:dyDescent="0.25">
      <c r="A254" s="14" t="s">
        <v>553</v>
      </c>
      <c r="B254" s="15" t="s">
        <v>554</v>
      </c>
      <c r="D254" s="16" t="s">
        <v>514</v>
      </c>
      <c r="E254" s="17">
        <v>46.6</v>
      </c>
      <c r="F254" s="17">
        <v>54.69</v>
      </c>
      <c r="G254" s="17">
        <v>46.59</v>
      </c>
      <c r="H254" s="17">
        <v>91.16</v>
      </c>
      <c r="I254" s="17">
        <v>53.35</v>
      </c>
      <c r="J254" s="17">
        <v>46.59</v>
      </c>
      <c r="K254" s="17">
        <v>97.91</v>
      </c>
      <c r="L254" s="17">
        <v>46.59</v>
      </c>
      <c r="M254" s="17">
        <v>46.59</v>
      </c>
      <c r="N254" s="17">
        <v>46.59</v>
      </c>
      <c r="O254" s="17">
        <v>46.59</v>
      </c>
      <c r="P254" s="17">
        <v>62.8</v>
      </c>
      <c r="R254" s="18">
        <f>SUM(E254:P254)</f>
      </c>
      <c r="U254" s="20">
        <v>1162.98</v>
      </c>
      <c r="X254" s="21">
        <f>R254/$C$3</f>
      </c>
      <c r="Y254" s="21">
        <f>R254/$C$3/12</f>
      </c>
    </row>
    <row r="255" spans="1:25" s="13" customFormat="1" x14ac:dyDescent="0.25">
      <c r="A255" s="14" t="s">
        <v>555</v>
      </c>
      <c r="B255" s="13" t="s">
        <v>556</v>
      </c>
      <c r="E255" s="22">
        <f>SUM(E234:E254)</f>
      </c>
      <c r="F255" s="22">
        <f>SUM(F234:F254)</f>
      </c>
      <c r="G255" s="22">
        <f>SUM(G234:G254)</f>
      </c>
      <c r="H255" s="22">
        <f>SUM(H234:H254)</f>
      </c>
      <c r="I255" s="22">
        <f>SUM(I234:I254)</f>
      </c>
      <c r="J255" s="22">
        <f>SUM(J234:J254)</f>
      </c>
      <c r="K255" s="22">
        <f>SUM(K234:K254)</f>
      </c>
      <c r="L255" s="22">
        <f>SUM(L234:L254)</f>
      </c>
      <c r="M255" s="22">
        <f>SUM(M234:M254)</f>
      </c>
      <c r="N255" s="22">
        <f>SUM(N234:N254)</f>
      </c>
      <c r="O255" s="22">
        <f>SUM(O234:O254)</f>
      </c>
      <c r="P255" s="22">
        <f>SUM(P234:P254)</f>
      </c>
      <c r="R255" s="22">
        <f>SUM(E255:P255)</f>
      </c>
      <c r="T255" s="19">
        <v>36713.51</v>
      </c>
      <c r="X255" s="23">
        <f>R255/$C$3</f>
      </c>
      <c r="Y255" s="23">
        <f>R255/$C$3/12</f>
      </c>
    </row>
    <row r="256" spans="1:2" s="13" customFormat="1" x14ac:dyDescent="0.25">
      <c r="A256" s="14" t="s">
        <v>557</v>
      </c>
      <c r="B256" s="13" t="s">
        <v>558</v>
      </c>
    </row>
    <row r="257" spans="1:25" s="15" customFormat="1" x14ac:dyDescent="0.25">
      <c r="A257" s="14" t="s">
        <v>559</v>
      </c>
      <c r="B257" s="15" t="s">
        <v>560</v>
      </c>
      <c r="D257" s="16" t="s">
        <v>45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R257" s="18">
        <f>SUM(E257:P257)</f>
      </c>
      <c r="X257" s="21">
        <f>R257/$C$3</f>
      </c>
      <c r="Y257" s="21">
        <f>R257/$C$3/12</f>
      </c>
    </row>
    <row r="258" spans="1:25" s="15" customFormat="1" x14ac:dyDescent="0.25">
      <c r="A258" s="14" t="s">
        <v>561</v>
      </c>
      <c r="B258" s="15" t="s">
        <v>562</v>
      </c>
      <c r="D258" s="16" t="s">
        <v>514</v>
      </c>
      <c r="E258" s="17">
        <v>31.48</v>
      </c>
      <c r="F258" s="17">
        <v>31.48</v>
      </c>
      <c r="G258" s="17">
        <v>31.48</v>
      </c>
      <c r="H258" s="17">
        <v>31.48</v>
      </c>
      <c r="I258" s="17">
        <v>31.48</v>
      </c>
      <c r="J258" s="17">
        <v>31.48</v>
      </c>
      <c r="K258" s="17">
        <v>31.48</v>
      </c>
      <c r="L258" s="17">
        <v>31.48</v>
      </c>
      <c r="M258" s="17">
        <v>31.48</v>
      </c>
      <c r="N258" s="17">
        <v>31.48</v>
      </c>
      <c r="O258" s="17">
        <v>31.48</v>
      </c>
      <c r="P258" s="17">
        <v>31.48</v>
      </c>
      <c r="R258" s="18">
        <f>SUM(E258:P258)</f>
      </c>
      <c r="U258" s="20">
        <v>640.4</v>
      </c>
      <c r="X258" s="21">
        <f>R258/$C$3</f>
      </c>
      <c r="Y258" s="21">
        <f>R258/$C$3/12</f>
      </c>
    </row>
    <row r="259" spans="1:25" s="15" customFormat="1" x14ac:dyDescent="0.25">
      <c r="A259" s="14" t="s">
        <v>563</v>
      </c>
      <c r="B259" s="15" t="s">
        <v>564</v>
      </c>
      <c r="D259" s="16" t="s">
        <v>45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R259" s="18">
        <f>SUM(E259:P259)</f>
      </c>
      <c r="X259" s="21">
        <f>R259/$C$3</f>
      </c>
      <c r="Y259" s="21">
        <f>R259/$C$3/12</f>
      </c>
    </row>
    <row r="260" spans="1:25" s="15" customFormat="1" x14ac:dyDescent="0.25">
      <c r="A260" s="14" t="s">
        <v>565</v>
      </c>
      <c r="B260" s="15" t="s">
        <v>566</v>
      </c>
      <c r="D260" s="16" t="s">
        <v>45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R260" s="18">
        <f>SUM(E260:P260)</f>
      </c>
      <c r="X260" s="21">
        <f>R260/$C$3</f>
      </c>
      <c r="Y260" s="21">
        <f>R260/$C$3/12</f>
      </c>
    </row>
    <row r="261" spans="1:25" s="15" customFormat="1" x14ac:dyDescent="0.25">
      <c r="A261" s="14" t="s">
        <v>567</v>
      </c>
      <c r="B261" s="15" t="s">
        <v>568</v>
      </c>
      <c r="D261" s="16" t="s">
        <v>45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R261" s="18">
        <f>SUM(E261:P261)</f>
      </c>
      <c r="X261" s="21">
        <f>R261/$C$3</f>
      </c>
      <c r="Y261" s="21">
        <f>R261/$C$3/12</f>
      </c>
    </row>
    <row r="262" spans="1:25" s="15" customFormat="1" x14ac:dyDescent="0.25">
      <c r="A262" s="14" t="s">
        <v>569</v>
      </c>
      <c r="B262" s="15" t="s">
        <v>570</v>
      </c>
      <c r="D262" s="16" t="s">
        <v>514</v>
      </c>
      <c r="E262" s="17">
        <v>83.4</v>
      </c>
      <c r="F262" s="17">
        <v>83.4</v>
      </c>
      <c r="G262" s="17">
        <v>83.39</v>
      </c>
      <c r="H262" s="17">
        <v>83.39</v>
      </c>
      <c r="I262" s="17">
        <v>83.39</v>
      </c>
      <c r="J262" s="17">
        <v>83.39</v>
      </c>
      <c r="K262" s="17">
        <v>83.39</v>
      </c>
      <c r="L262" s="17">
        <v>83.39</v>
      </c>
      <c r="M262" s="17">
        <v>83.39</v>
      </c>
      <c r="N262" s="17">
        <v>83.39</v>
      </c>
      <c r="O262" s="17">
        <v>83.39</v>
      </c>
      <c r="P262" s="17">
        <v>83.39</v>
      </c>
      <c r="R262" s="18">
        <f>SUM(E262:P262)</f>
      </c>
      <c r="U262" s="20">
        <v>1696.39</v>
      </c>
      <c r="X262" s="21">
        <f>R262/$C$3</f>
      </c>
      <c r="Y262" s="21">
        <f>R262/$C$3/12</f>
      </c>
    </row>
    <row r="263" spans="1:25" s="15" customFormat="1" x14ac:dyDescent="0.25">
      <c r="A263" s="14" t="s">
        <v>571</v>
      </c>
      <c r="B263" s="15" t="s">
        <v>572</v>
      </c>
      <c r="D263" s="16" t="s">
        <v>45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R263" s="18">
        <f>SUM(E263:P263)</f>
      </c>
      <c r="X263" s="21">
        <f>R263/$C$3</f>
      </c>
      <c r="Y263" s="21">
        <f>R263/$C$3/12</f>
      </c>
    </row>
    <row r="264" spans="1:25" s="15" customFormat="1" x14ac:dyDescent="0.25">
      <c r="A264" s="14" t="s">
        <v>573</v>
      </c>
      <c r="B264" s="15" t="s">
        <v>574</v>
      </c>
      <c r="D264" s="16" t="s">
        <v>45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R264" s="18">
        <f>SUM(E264:P264)</f>
      </c>
      <c r="X264" s="21">
        <f>R264/$C$3</f>
      </c>
      <c r="Y264" s="21">
        <f>R264/$C$3/12</f>
      </c>
    </row>
    <row r="265" spans="1:25" s="15" customFormat="1" x14ac:dyDescent="0.25">
      <c r="A265" s="14" t="s">
        <v>575</v>
      </c>
      <c r="B265" s="15" t="s">
        <v>576</v>
      </c>
      <c r="D265" s="16" t="s">
        <v>514</v>
      </c>
      <c r="E265" s="17">
        <v>35.12</v>
      </c>
      <c r="F265" s="17">
        <v>35.11</v>
      </c>
      <c r="G265" s="17">
        <v>35.11</v>
      </c>
      <c r="H265" s="17">
        <v>35.11</v>
      </c>
      <c r="I265" s="17">
        <v>35.11</v>
      </c>
      <c r="J265" s="17">
        <v>35.11</v>
      </c>
      <c r="K265" s="17">
        <v>35.11</v>
      </c>
      <c r="L265" s="17">
        <v>35.11</v>
      </c>
      <c r="M265" s="17">
        <v>35.11</v>
      </c>
      <c r="N265" s="17">
        <v>35.11</v>
      </c>
      <c r="O265" s="17">
        <v>35.11</v>
      </c>
      <c r="P265" s="17">
        <v>35.11</v>
      </c>
      <c r="R265" s="18">
        <f>SUM(E265:P265)</f>
      </c>
      <c r="U265" s="20">
        <v>714.27</v>
      </c>
      <c r="X265" s="21">
        <f>R265/$C$3</f>
      </c>
      <c r="Y265" s="21">
        <f>R265/$C$3/12</f>
      </c>
    </row>
    <row r="266" spans="1:25" s="15" customFormat="1" x14ac:dyDescent="0.25">
      <c r="A266" s="14" t="s">
        <v>577</v>
      </c>
      <c r="B266" s="15" t="s">
        <v>578</v>
      </c>
      <c r="D266" s="16" t="s">
        <v>514</v>
      </c>
      <c r="E266" s="17">
        <v>13.5</v>
      </c>
      <c r="F266" s="17">
        <v>40.52</v>
      </c>
      <c r="G266" s="17">
        <v>166.78</v>
      </c>
      <c r="H266" s="17">
        <v>234.31</v>
      </c>
      <c r="I266" s="17">
        <v>249.84</v>
      </c>
      <c r="J266" s="17">
        <v>303.86</v>
      </c>
      <c r="K266" s="17">
        <v>81.03</v>
      </c>
      <c r="L266" s="17">
        <v>67.52</v>
      </c>
      <c r="M266" s="17"/>
      <c r="N266" s="17"/>
      <c r="O266" s="17"/>
      <c r="P266" s="17"/>
      <c r="R266" s="18">
        <f>SUM(E266:P266)</f>
      </c>
      <c r="U266" s="20">
        <v>1961.95</v>
      </c>
      <c r="X266" s="21">
        <f>R266/$C$3</f>
      </c>
      <c r="Y266" s="21">
        <f>R266/$C$3/12</f>
      </c>
    </row>
    <row r="267" spans="1:25" s="15" customFormat="1" x14ac:dyDescent="0.25">
      <c r="A267" s="14" t="s">
        <v>579</v>
      </c>
      <c r="B267" s="15" t="s">
        <v>580</v>
      </c>
      <c r="D267" s="16" t="s">
        <v>45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R267" s="18">
        <f>SUM(E267:P267)</f>
      </c>
      <c r="X267" s="21">
        <f>R267/$C$3</f>
      </c>
      <c r="Y267" s="21">
        <f>R267/$C$3/12</f>
      </c>
    </row>
    <row r="268" spans="1:25" s="15" customFormat="1" x14ac:dyDescent="0.25">
      <c r="A268" s="14" t="s">
        <v>581</v>
      </c>
      <c r="B268" s="15" t="s">
        <v>582</v>
      </c>
      <c r="D268" s="16" t="s">
        <v>45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R268" s="18">
        <f>SUM(E268:P268)</f>
      </c>
      <c r="X268" s="21">
        <f>R268/$C$3</f>
      </c>
      <c r="Y268" s="21">
        <f>R268/$C$3/12</f>
      </c>
    </row>
    <row r="269" spans="1:25" s="15" customFormat="1" x14ac:dyDescent="0.25">
      <c r="A269" s="14" t="s">
        <v>583</v>
      </c>
      <c r="B269" s="15" t="s">
        <v>584</v>
      </c>
      <c r="D269" s="16" t="s">
        <v>514</v>
      </c>
      <c r="E269" s="17">
        <v>8.1</v>
      </c>
      <c r="F269" s="17">
        <v>8.1</v>
      </c>
      <c r="G269" s="17">
        <v>8.1</v>
      </c>
      <c r="H269" s="17">
        <v>8.1</v>
      </c>
      <c r="I269" s="17">
        <v>8.1</v>
      </c>
      <c r="J269" s="17">
        <v>8.1</v>
      </c>
      <c r="K269" s="17">
        <v>8.1</v>
      </c>
      <c r="L269" s="17">
        <v>8.1</v>
      </c>
      <c r="M269" s="17">
        <v>8.1</v>
      </c>
      <c r="N269" s="17">
        <v>8.1</v>
      </c>
      <c r="O269" s="17">
        <v>8.1</v>
      </c>
      <c r="P269" s="17">
        <v>8.1</v>
      </c>
      <c r="R269" s="18">
        <f>SUM(E269:P269)</f>
      </c>
      <c r="U269" s="20">
        <v>164.83</v>
      </c>
      <c r="X269" s="21">
        <f>R269/$C$3</f>
      </c>
      <c r="Y269" s="21">
        <f>R269/$C$3/12</f>
      </c>
    </row>
    <row r="270" spans="1:25" s="13" customFormat="1" x14ac:dyDescent="0.25">
      <c r="A270" s="14" t="s">
        <v>585</v>
      </c>
      <c r="B270" s="13" t="s">
        <v>586</v>
      </c>
      <c r="E270" s="22">
        <f>SUM(E257:E269)</f>
      </c>
      <c r="F270" s="22">
        <f>SUM(F257:F269)</f>
      </c>
      <c r="G270" s="22">
        <f>SUM(G257:G269)</f>
      </c>
      <c r="H270" s="22">
        <f>SUM(H257:H269)</f>
      </c>
      <c r="I270" s="22">
        <f>SUM(I257:I269)</f>
      </c>
      <c r="J270" s="22">
        <f>SUM(J257:J269)</f>
      </c>
      <c r="K270" s="22">
        <f>SUM(K257:K269)</f>
      </c>
      <c r="L270" s="22">
        <f>SUM(L257:L269)</f>
      </c>
      <c r="M270" s="22">
        <f>SUM(M257:M269)</f>
      </c>
      <c r="N270" s="22">
        <f>SUM(N257:N269)</f>
      </c>
      <c r="O270" s="22">
        <f>SUM(O257:O269)</f>
      </c>
      <c r="P270" s="22">
        <f>SUM(P257:P269)</f>
      </c>
      <c r="R270" s="22">
        <f>SUM(E270:P270)</f>
      </c>
      <c r="T270" s="19">
        <v>4627.82</v>
      </c>
      <c r="X270" s="23">
        <f>R270/$C$3</f>
      </c>
      <c r="Y270" s="23">
        <f>R270/$C$3/12</f>
      </c>
    </row>
    <row r="271" spans="1:2" s="13" customFormat="1" x14ac:dyDescent="0.25">
      <c r="A271" s="14" t="s">
        <v>587</v>
      </c>
      <c r="B271" s="13" t="s">
        <v>588</v>
      </c>
    </row>
    <row r="272" spans="1:25" s="15" customFormat="1" x14ac:dyDescent="0.25">
      <c r="A272" s="14" t="s">
        <v>589</v>
      </c>
      <c r="B272" s="15" t="s">
        <v>590</v>
      </c>
      <c r="D272" s="16" t="s">
        <v>514</v>
      </c>
      <c r="E272" s="17">
        <v>594.21</v>
      </c>
      <c r="F272" s="17">
        <v>519.93</v>
      </c>
      <c r="G272" s="17">
        <v>303.86</v>
      </c>
      <c r="H272" s="17">
        <v>325.46</v>
      </c>
      <c r="I272" s="17">
        <v>206.62</v>
      </c>
      <c r="J272" s="17">
        <v>259.97</v>
      </c>
      <c r="K272" s="17">
        <v>263.34</v>
      </c>
      <c r="L272" s="17">
        <v>391.64</v>
      </c>
      <c r="M272" s="17">
        <v>526.68</v>
      </c>
      <c r="N272" s="17">
        <v>526.68</v>
      </c>
      <c r="O272" s="17">
        <v>573.95</v>
      </c>
      <c r="P272" s="17">
        <v>658.35</v>
      </c>
      <c r="R272" s="18">
        <f>SUM(E272:P272)</f>
      </c>
      <c r="U272" s="20">
        <v>8731.49</v>
      </c>
      <c r="X272" s="21">
        <f>R272/$C$3</f>
      </c>
      <c r="Y272" s="21">
        <f>R272/$C$3/12</f>
      </c>
    </row>
    <row r="273" spans="1:25" s="15" customFormat="1" x14ac:dyDescent="0.25">
      <c r="A273" s="14" t="s">
        <v>591</v>
      </c>
      <c r="B273" s="15" t="s">
        <v>592</v>
      </c>
      <c r="D273" s="16" t="s">
        <v>45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R273" s="18">
        <f>SUM(E273:P273)</f>
      </c>
      <c r="X273" s="21">
        <f>R273/$C$3</f>
      </c>
      <c r="Y273" s="21">
        <f>R273/$C$3/12</f>
      </c>
    </row>
    <row r="274" spans="1:25" s="15" customFormat="1" x14ac:dyDescent="0.25">
      <c r="A274" s="14" t="s">
        <v>593</v>
      </c>
      <c r="B274" s="15" t="s">
        <v>594</v>
      </c>
      <c r="D274" s="16" t="s">
        <v>45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R274" s="18">
        <f>SUM(E274:P274)</f>
      </c>
      <c r="X274" s="21">
        <f>R274/$C$3</f>
      </c>
      <c r="Y274" s="21">
        <f>R274/$C$3/12</f>
      </c>
    </row>
    <row r="275" spans="1:25" s="15" customFormat="1" x14ac:dyDescent="0.25">
      <c r="A275" s="14" t="s">
        <v>595</v>
      </c>
      <c r="B275" s="15" t="s">
        <v>596</v>
      </c>
      <c r="D275" s="16" t="s">
        <v>45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R275" s="18">
        <f>SUM(E275:P275)</f>
      </c>
      <c r="X275" s="21">
        <f>R275/$C$3</f>
      </c>
      <c r="Y275" s="21">
        <f>R275/$C$3/12</f>
      </c>
    </row>
    <row r="276" spans="1:25" s="15" customFormat="1" x14ac:dyDescent="0.25">
      <c r="A276" s="14" t="s">
        <v>597</v>
      </c>
      <c r="B276" s="15" t="s">
        <v>598</v>
      </c>
      <c r="D276" s="16" t="s">
        <v>45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R276" s="18">
        <f>SUM(E276:P276)</f>
      </c>
      <c r="X276" s="21">
        <f>R276/$C$3</f>
      </c>
      <c r="Y276" s="21">
        <f>R276/$C$3/12</f>
      </c>
    </row>
    <row r="277" spans="1:25" s="15" customFormat="1" x14ac:dyDescent="0.25">
      <c r="A277" s="14" t="s">
        <v>599</v>
      </c>
      <c r="B277" s="15" t="s">
        <v>600</v>
      </c>
      <c r="D277" s="16" t="s">
        <v>45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R277" s="18">
        <f>SUM(E277:P277)</f>
      </c>
      <c r="X277" s="21">
        <f>R277/$C$3</f>
      </c>
      <c r="Y277" s="21">
        <f>R277/$C$3/12</f>
      </c>
    </row>
    <row r="278" spans="1:25" s="15" customFormat="1" x14ac:dyDescent="0.25">
      <c r="A278" s="14" t="s">
        <v>601</v>
      </c>
      <c r="B278" s="15" t="s">
        <v>602</v>
      </c>
      <c r="D278" s="16" t="s">
        <v>45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R278" s="18">
        <f>SUM(E278:P278)</f>
      </c>
      <c r="X278" s="21">
        <f>R278/$C$3</f>
      </c>
      <c r="Y278" s="21">
        <f>R278/$C$3/12</f>
      </c>
    </row>
    <row r="279" spans="1:25" s="15" customFormat="1" x14ac:dyDescent="0.25">
      <c r="A279" s="14" t="s">
        <v>603</v>
      </c>
      <c r="B279" s="15" t="s">
        <v>604</v>
      </c>
      <c r="D279" s="16" t="s">
        <v>45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R279" s="18">
        <f>SUM(E279:P279)</f>
      </c>
      <c r="X279" s="21">
        <f>R279/$C$3</f>
      </c>
      <c r="Y279" s="21">
        <f>R279/$C$3/12</f>
      </c>
    </row>
    <row r="280" spans="1:25" s="15" customFormat="1" x14ac:dyDescent="0.25">
      <c r="A280" s="14" t="s">
        <v>605</v>
      </c>
      <c r="B280" s="15" t="s">
        <v>606</v>
      </c>
      <c r="D280" s="16" t="s">
        <v>514</v>
      </c>
      <c r="E280" s="17">
        <v>112.09</v>
      </c>
      <c r="F280" s="17">
        <v>112.09</v>
      </c>
      <c r="G280" s="17">
        <v>112.09</v>
      </c>
      <c r="H280" s="17">
        <v>112.09</v>
      </c>
      <c r="I280" s="17">
        <v>112.09</v>
      </c>
      <c r="J280" s="17">
        <v>112.09</v>
      </c>
      <c r="K280" s="17">
        <v>112.09</v>
      </c>
      <c r="L280" s="17">
        <v>112.09</v>
      </c>
      <c r="M280" s="17">
        <v>112.09</v>
      </c>
      <c r="N280" s="17">
        <v>112.09</v>
      </c>
      <c r="O280" s="17">
        <v>112.09</v>
      </c>
      <c r="P280" s="17">
        <v>112.09</v>
      </c>
      <c r="R280" s="18">
        <f>SUM(E280:P280)</f>
      </c>
      <c r="U280" s="20">
        <v>2280.17</v>
      </c>
      <c r="X280" s="21">
        <f>R280/$C$3</f>
      </c>
      <c r="Y280" s="21">
        <f>R280/$C$3/12</f>
      </c>
    </row>
    <row r="281" spans="1:25" s="15" customFormat="1" x14ac:dyDescent="0.25">
      <c r="A281" s="14" t="s">
        <v>607</v>
      </c>
      <c r="B281" s="15" t="s">
        <v>608</v>
      </c>
      <c r="D281" s="16" t="s">
        <v>514</v>
      </c>
      <c r="E281" s="17">
        <v>420</v>
      </c>
      <c r="F281" s="17">
        <v>364.63</v>
      </c>
      <c r="G281" s="17">
        <v>357.88</v>
      </c>
      <c r="H281" s="17">
        <v>353.82</v>
      </c>
      <c r="I281" s="17">
        <v>496.97</v>
      </c>
      <c r="J281" s="17">
        <v>357.88</v>
      </c>
      <c r="K281" s="17">
        <v>357.88</v>
      </c>
      <c r="L281" s="17">
        <v>357.88</v>
      </c>
      <c r="M281" s="17">
        <v>357.88</v>
      </c>
      <c r="N281" s="17">
        <v>357.87</v>
      </c>
      <c r="O281" s="17">
        <v>357.87</v>
      </c>
      <c r="P281" s="17">
        <v>302.5</v>
      </c>
      <c r="R281" s="18">
        <f>SUM(E281:P281)</f>
      </c>
      <c r="U281" s="20">
        <v>7531.88</v>
      </c>
      <c r="X281" s="21">
        <f>R281/$C$3</f>
      </c>
      <c r="Y281" s="21">
        <f>R281/$C$3/12</f>
      </c>
    </row>
    <row r="282" spans="1:25" s="15" customFormat="1" x14ac:dyDescent="0.25">
      <c r="A282" s="14" t="s">
        <v>609</v>
      </c>
      <c r="B282" s="15" t="s">
        <v>610</v>
      </c>
      <c r="D282" s="16" t="s">
        <v>514</v>
      </c>
      <c r="E282" s="17">
        <v>374.27</v>
      </c>
      <c r="F282" s="17">
        <v>364.81</v>
      </c>
      <c r="G282" s="17">
        <v>289.19</v>
      </c>
      <c r="H282" s="17">
        <v>302.69</v>
      </c>
      <c r="I282" s="17">
        <v>90.67</v>
      </c>
      <c r="J282" s="17">
        <v>428.29</v>
      </c>
      <c r="K282" s="17">
        <v>158.19</v>
      </c>
      <c r="L282" s="17">
        <v>204.11</v>
      </c>
      <c r="M282" s="17">
        <v>774.01</v>
      </c>
      <c r="N282" s="17">
        <v>185.2</v>
      </c>
      <c r="O282" s="17">
        <v>263.53</v>
      </c>
      <c r="P282" s="17">
        <v>90.67</v>
      </c>
      <c r="R282" s="18">
        <f>SUM(E282:P282)</f>
      </c>
      <c r="U282" s="20">
        <v>5976.7</v>
      </c>
      <c r="X282" s="21">
        <f>R282/$C$3</f>
      </c>
      <c r="Y282" s="21">
        <f>R282/$C$3/12</f>
      </c>
    </row>
    <row r="283" spans="1:25" s="15" customFormat="1" x14ac:dyDescent="0.25">
      <c r="A283" s="14" t="s">
        <v>611</v>
      </c>
      <c r="B283" s="15" t="s">
        <v>612</v>
      </c>
      <c r="D283" s="16" t="s">
        <v>514</v>
      </c>
      <c r="E283" s="17">
        <v>111.3</v>
      </c>
      <c r="F283" s="17">
        <v>111.3</v>
      </c>
      <c r="G283" s="17">
        <v>111.3</v>
      </c>
      <c r="H283" s="17">
        <v>111.3</v>
      </c>
      <c r="I283" s="17">
        <v>111.29</v>
      </c>
      <c r="J283" s="17">
        <v>111.29</v>
      </c>
      <c r="K283" s="17">
        <v>111.29</v>
      </c>
      <c r="L283" s="17">
        <v>111.29</v>
      </c>
      <c r="M283" s="17">
        <v>111.29</v>
      </c>
      <c r="N283" s="17">
        <v>111.29</v>
      </c>
      <c r="O283" s="17">
        <v>111.29</v>
      </c>
      <c r="P283" s="17">
        <v>111.29</v>
      </c>
      <c r="R283" s="18">
        <f>SUM(E283:P283)</f>
      </c>
      <c r="U283" s="20">
        <v>2263.93</v>
      </c>
      <c r="X283" s="21">
        <f>R283/$C$3</f>
      </c>
      <c r="Y283" s="21">
        <f>R283/$C$3/12</f>
      </c>
    </row>
    <row r="284" spans="1:25" s="15" customFormat="1" x14ac:dyDescent="0.25">
      <c r="A284" s="14" t="s">
        <v>613</v>
      </c>
      <c r="B284" s="15" t="s">
        <v>614</v>
      </c>
      <c r="D284" s="16" t="s">
        <v>514</v>
      </c>
      <c r="E284" s="17">
        <v>249.84</v>
      </c>
      <c r="F284" s="17">
        <v>249.84</v>
      </c>
      <c r="G284" s="17">
        <v>249.84</v>
      </c>
      <c r="H284" s="17">
        <v>249.84</v>
      </c>
      <c r="I284" s="17">
        <v>259.29</v>
      </c>
      <c r="J284" s="17">
        <v>278.2</v>
      </c>
      <c r="K284" s="17">
        <v>249.84</v>
      </c>
      <c r="L284" s="17">
        <v>289.95</v>
      </c>
      <c r="M284" s="17">
        <v>249.84</v>
      </c>
      <c r="N284" s="17">
        <v>249.84</v>
      </c>
      <c r="O284" s="17">
        <v>249.84</v>
      </c>
      <c r="P284" s="17">
        <v>249.84</v>
      </c>
      <c r="R284" s="18">
        <f>SUM(E284:P284)</f>
      </c>
      <c r="U284" s="20">
        <v>5214.4</v>
      </c>
      <c r="X284" s="21">
        <f>R284/$C$3</f>
      </c>
      <c r="Y284" s="21">
        <f>R284/$C$3/12</f>
      </c>
    </row>
    <row r="285" spans="1:25" s="15" customFormat="1" x14ac:dyDescent="0.25">
      <c r="A285" s="14" t="s">
        <v>615</v>
      </c>
      <c r="B285" s="15" t="s">
        <v>616</v>
      </c>
      <c r="D285" s="16" t="s">
        <v>514</v>
      </c>
      <c r="E285" s="17"/>
      <c r="F285" s="17"/>
      <c r="G285" s="17">
        <v>1121.23</v>
      </c>
      <c r="H285" s="17"/>
      <c r="I285" s="17"/>
      <c r="J285" s="17">
        <v>1121.23</v>
      </c>
      <c r="K285" s="17"/>
      <c r="L285" s="17"/>
      <c r="M285" s="17">
        <v>1121.23</v>
      </c>
      <c r="N285" s="17"/>
      <c r="O285" s="17"/>
      <c r="P285" s="17">
        <v>1121.22</v>
      </c>
      <c r="R285" s="18">
        <f>SUM(E285:P285)</f>
      </c>
      <c r="U285" s="20">
        <v>7602.85</v>
      </c>
      <c r="X285" s="21">
        <f>R285/$C$3</f>
      </c>
      <c r="Y285" s="21">
        <f>R285/$C$3/12</f>
      </c>
    </row>
    <row r="286" spans="1:25" s="15" customFormat="1" x14ac:dyDescent="0.25">
      <c r="A286" s="14" t="s">
        <v>617</v>
      </c>
      <c r="B286" s="15" t="s">
        <v>618</v>
      </c>
      <c r="D286" s="16" t="s">
        <v>514</v>
      </c>
      <c r="E286" s="17">
        <v>22.29</v>
      </c>
      <c r="F286" s="17">
        <v>22.29</v>
      </c>
      <c r="G286" s="17">
        <v>22.28</v>
      </c>
      <c r="H286" s="17">
        <v>22.28</v>
      </c>
      <c r="I286" s="17">
        <v>22.28</v>
      </c>
      <c r="J286" s="17">
        <v>22.28</v>
      </c>
      <c r="K286" s="17">
        <v>22.28</v>
      </c>
      <c r="L286" s="17">
        <v>22.28</v>
      </c>
      <c r="M286" s="17">
        <v>22.28</v>
      </c>
      <c r="N286" s="17">
        <v>22.28</v>
      </c>
      <c r="O286" s="17">
        <v>22.28</v>
      </c>
      <c r="P286" s="17">
        <v>22.28</v>
      </c>
      <c r="R286" s="18">
        <f>SUM(E286:P286)</f>
      </c>
      <c r="U286" s="20">
        <v>453.29</v>
      </c>
      <c r="X286" s="21">
        <f>R286/$C$3</f>
      </c>
      <c r="Y286" s="21">
        <f>R286/$C$3/12</f>
      </c>
    </row>
    <row r="287" spans="1:25" s="15" customFormat="1" x14ac:dyDescent="0.25">
      <c r="A287" s="14" t="s">
        <v>619</v>
      </c>
      <c r="B287" s="15" t="s">
        <v>620</v>
      </c>
      <c r="D287" s="16" t="s">
        <v>514</v>
      </c>
      <c r="E287" s="17">
        <v>1478.76</v>
      </c>
      <c r="F287" s="17">
        <v>1242.43</v>
      </c>
      <c r="G287" s="17">
        <v>1242.43</v>
      </c>
      <c r="H287" s="17">
        <v>1052.69</v>
      </c>
      <c r="I287" s="17">
        <v>677.43</v>
      </c>
      <c r="J287" s="17">
        <v>1104.01</v>
      </c>
      <c r="K287" s="17">
        <v>1397.74</v>
      </c>
      <c r="L287" s="17">
        <v>1553.04</v>
      </c>
      <c r="M287" s="17">
        <v>1458.51</v>
      </c>
      <c r="N287" s="17">
        <v>1323.46</v>
      </c>
      <c r="O287" s="17">
        <v>1421.37</v>
      </c>
      <c r="P287" s="17">
        <v>1546.29</v>
      </c>
      <c r="R287" s="18">
        <f>SUM(E287:P287)</f>
      </c>
      <c r="U287" s="20">
        <v>26272.59</v>
      </c>
      <c r="X287" s="21">
        <f>R287/$C$3</f>
      </c>
      <c r="Y287" s="21">
        <f>R287/$C$3/12</f>
      </c>
    </row>
    <row r="288" spans="1:25" s="15" customFormat="1" x14ac:dyDescent="0.25">
      <c r="A288" s="14" t="s">
        <v>621</v>
      </c>
      <c r="B288" s="15" t="s">
        <v>622</v>
      </c>
      <c r="D288" s="16" t="s">
        <v>514</v>
      </c>
      <c r="E288" s="17">
        <v>2890.68</v>
      </c>
      <c r="F288" s="17">
        <v>2981.84</v>
      </c>
      <c r="G288" s="17">
        <v>2981.84</v>
      </c>
      <c r="H288" s="17">
        <v>2981.83</v>
      </c>
      <c r="I288" s="17">
        <v>2795.47</v>
      </c>
      <c r="J288" s="17">
        <v>2795.47</v>
      </c>
      <c r="K288" s="17">
        <v>2795.47</v>
      </c>
      <c r="L288" s="17">
        <v>2930.52</v>
      </c>
      <c r="M288" s="17">
        <v>2930.52</v>
      </c>
      <c r="N288" s="17">
        <v>2930.52</v>
      </c>
      <c r="O288" s="17">
        <v>2795.47</v>
      </c>
      <c r="P288" s="17">
        <v>2795.65</v>
      </c>
      <c r="R288" s="18">
        <f>SUM(E288:P288)</f>
      </c>
      <c r="U288" s="20">
        <v>58662.83</v>
      </c>
      <c r="X288" s="21">
        <f>R288/$C$3</f>
      </c>
      <c r="Y288" s="21">
        <f>R288/$C$3/12</f>
      </c>
    </row>
    <row r="289" spans="1:25" s="15" customFormat="1" x14ac:dyDescent="0.25">
      <c r="A289" s="14" t="s">
        <v>623</v>
      </c>
      <c r="B289" s="15" t="s">
        <v>624</v>
      </c>
      <c r="D289" s="16" t="s">
        <v>514</v>
      </c>
      <c r="E289" s="17">
        <v>655.65</v>
      </c>
      <c r="F289" s="17">
        <v>338.29</v>
      </c>
      <c r="G289" s="17">
        <v>243.76</v>
      </c>
      <c r="H289" s="17">
        <v>264.02</v>
      </c>
      <c r="I289" s="17">
        <v>257.27</v>
      </c>
      <c r="J289" s="17">
        <v>257.27</v>
      </c>
      <c r="K289" s="17">
        <v>257.27</v>
      </c>
      <c r="L289" s="17">
        <v>324.78</v>
      </c>
      <c r="M289" s="17">
        <v>459.83</v>
      </c>
      <c r="N289" s="17">
        <v>513.85</v>
      </c>
      <c r="O289" s="17">
        <v>783.94</v>
      </c>
      <c r="P289" s="17">
        <v>773.82</v>
      </c>
      <c r="R289" s="18">
        <f>SUM(E289:P289)</f>
      </c>
      <c r="U289" s="20">
        <v>8696</v>
      </c>
      <c r="X289" s="21">
        <f>R289/$C$3</f>
      </c>
      <c r="Y289" s="21">
        <f>R289/$C$3/12</f>
      </c>
    </row>
    <row r="290" spans="1:25" s="15" customFormat="1" x14ac:dyDescent="0.25">
      <c r="A290" s="14" t="s">
        <v>625</v>
      </c>
      <c r="B290" s="15" t="s">
        <v>626</v>
      </c>
      <c r="D290" s="16" t="s">
        <v>514</v>
      </c>
      <c r="E290" s="17">
        <v>377.46</v>
      </c>
      <c r="F290" s="17">
        <v>269.42</v>
      </c>
      <c r="G290" s="17">
        <v>269.42</v>
      </c>
      <c r="H290" s="17">
        <v>269.42</v>
      </c>
      <c r="I290" s="17">
        <v>269.42</v>
      </c>
      <c r="J290" s="17">
        <v>269.42</v>
      </c>
      <c r="K290" s="17">
        <v>269.42</v>
      </c>
      <c r="L290" s="17">
        <v>377.46</v>
      </c>
      <c r="M290" s="17">
        <v>377.46</v>
      </c>
      <c r="N290" s="17">
        <v>377.46</v>
      </c>
      <c r="O290" s="17">
        <v>377.46</v>
      </c>
      <c r="P290" s="17">
        <v>377.45</v>
      </c>
      <c r="R290" s="18">
        <f>SUM(E290:P290)</f>
      </c>
      <c r="U290" s="20">
        <v>6579.52</v>
      </c>
      <c r="X290" s="21">
        <f>R290/$C$3</f>
      </c>
      <c r="Y290" s="21">
        <f>R290/$C$3/12</f>
      </c>
    </row>
    <row r="291" spans="1:25" s="15" customFormat="1" x14ac:dyDescent="0.25">
      <c r="A291" s="14" t="s">
        <v>627</v>
      </c>
      <c r="B291" s="15" t="s">
        <v>628</v>
      </c>
      <c r="D291" s="16" t="s">
        <v>514</v>
      </c>
      <c r="E291" s="17">
        <v>53.69</v>
      </c>
      <c r="F291" s="17">
        <v>53.69</v>
      </c>
      <c r="G291" s="17">
        <v>53.68</v>
      </c>
      <c r="H291" s="17">
        <v>53.68</v>
      </c>
      <c r="I291" s="17">
        <v>53.68</v>
      </c>
      <c r="J291" s="17">
        <v>53.68</v>
      </c>
      <c r="K291" s="17">
        <v>53.68</v>
      </c>
      <c r="L291" s="17">
        <v>53.68</v>
      </c>
      <c r="M291" s="17">
        <v>53.68</v>
      </c>
      <c r="N291" s="17">
        <v>53.68</v>
      </c>
      <c r="O291" s="17">
        <v>53.68</v>
      </c>
      <c r="P291" s="17">
        <v>53.68</v>
      </c>
      <c r="R291" s="18">
        <f>SUM(E291:P291)</f>
      </c>
      <c r="U291" s="20">
        <v>1092.09</v>
      </c>
      <c r="X291" s="21">
        <f>R291/$C$3</f>
      </c>
      <c r="Y291" s="21">
        <f>R291/$C$3/12</f>
      </c>
    </row>
    <row r="292" spans="1:25" s="15" customFormat="1" x14ac:dyDescent="0.25">
      <c r="A292" s="14" t="s">
        <v>629</v>
      </c>
      <c r="B292" s="15" t="s">
        <v>630</v>
      </c>
      <c r="D292" s="16" t="s">
        <v>45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R292" s="18">
        <f>SUM(E292:P292)</f>
      </c>
      <c r="X292" s="21">
        <f>R292/$C$3</f>
      </c>
      <c r="Y292" s="21">
        <f>R292/$C$3/12</f>
      </c>
    </row>
    <row r="293" spans="1:25" s="15" customFormat="1" x14ac:dyDescent="0.25">
      <c r="A293" s="14" t="s">
        <v>631</v>
      </c>
      <c r="B293" s="15" t="s">
        <v>632</v>
      </c>
      <c r="D293" s="16" t="s">
        <v>514</v>
      </c>
      <c r="E293" s="17">
        <v>33.77</v>
      </c>
      <c r="F293" s="17">
        <v>33.77</v>
      </c>
      <c r="G293" s="17">
        <v>135.05</v>
      </c>
      <c r="H293" s="17">
        <v>675.24</v>
      </c>
      <c r="I293" s="17">
        <v>675.24</v>
      </c>
      <c r="J293" s="17">
        <v>675.24</v>
      </c>
      <c r="K293" s="17">
        <v>573.95</v>
      </c>
      <c r="L293" s="17">
        <v>33.76</v>
      </c>
      <c r="M293" s="17">
        <v>33.76</v>
      </c>
      <c r="N293" s="17">
        <v>33.76</v>
      </c>
      <c r="O293" s="17">
        <v>33.76</v>
      </c>
      <c r="P293" s="17">
        <v>33.76</v>
      </c>
      <c r="R293" s="18">
        <f>SUM(E293:P293)</f>
      </c>
      <c r="U293" s="20">
        <v>5036.52</v>
      </c>
      <c r="X293" s="21">
        <f>R293/$C$3</f>
      </c>
      <c r="Y293" s="21">
        <f>R293/$C$3/12</f>
      </c>
    </row>
    <row r="294" spans="1:25" s="15" customFormat="1" x14ac:dyDescent="0.25">
      <c r="A294" s="14" t="s">
        <v>633</v>
      </c>
      <c r="B294" s="15" t="s">
        <v>634</v>
      </c>
      <c r="D294" s="16" t="s">
        <v>514</v>
      </c>
      <c r="E294" s="17">
        <v>49.55</v>
      </c>
      <c r="F294" s="17">
        <v>49.55</v>
      </c>
      <c r="G294" s="17">
        <v>49.55</v>
      </c>
      <c r="H294" s="17">
        <v>49.55</v>
      </c>
      <c r="I294" s="17">
        <v>49.55</v>
      </c>
      <c r="J294" s="17">
        <v>49.55</v>
      </c>
      <c r="K294" s="17">
        <v>49.55</v>
      </c>
      <c r="L294" s="17">
        <v>49.55</v>
      </c>
      <c r="M294" s="17">
        <v>49.55</v>
      </c>
      <c r="N294" s="17">
        <v>49.55</v>
      </c>
      <c r="O294" s="17">
        <v>49.55</v>
      </c>
      <c r="P294" s="17">
        <v>49.55</v>
      </c>
      <c r="R294" s="18">
        <f>SUM(E294:P294)</f>
      </c>
      <c r="U294" s="20">
        <v>1007.89</v>
      </c>
      <c r="X294" s="21">
        <f>R294/$C$3</f>
      </c>
      <c r="Y294" s="21">
        <f>R294/$C$3/12</f>
      </c>
    </row>
    <row r="295" spans="1:25" s="15" customFormat="1" x14ac:dyDescent="0.25">
      <c r="A295" s="14" t="s">
        <v>635</v>
      </c>
      <c r="B295" s="15" t="s">
        <v>636</v>
      </c>
      <c r="D295" s="16" t="s">
        <v>514</v>
      </c>
      <c r="E295" s="17">
        <v>75.28</v>
      </c>
      <c r="F295" s="17">
        <v>75.28</v>
      </c>
      <c r="G295" s="17">
        <v>75.28</v>
      </c>
      <c r="H295" s="17">
        <v>75.28</v>
      </c>
      <c r="I295" s="17">
        <v>75.28</v>
      </c>
      <c r="J295" s="17">
        <v>75.28</v>
      </c>
      <c r="K295" s="17">
        <v>75.28</v>
      </c>
      <c r="L295" s="17">
        <v>75.27</v>
      </c>
      <c r="M295" s="17">
        <v>75.27</v>
      </c>
      <c r="N295" s="17">
        <v>75.27</v>
      </c>
      <c r="O295" s="17">
        <v>75.27</v>
      </c>
      <c r="P295" s="17">
        <v>75.27</v>
      </c>
      <c r="R295" s="18">
        <f>SUM(E295:P295)</f>
      </c>
      <c r="U295" s="20">
        <v>1531.31</v>
      </c>
      <c r="X295" s="21">
        <f>R295/$C$3</f>
      </c>
      <c r="Y295" s="21">
        <f>R295/$C$3/12</f>
      </c>
    </row>
    <row r="296" spans="1:25" s="15" customFormat="1" x14ac:dyDescent="0.25">
      <c r="A296" s="14" t="s">
        <v>637</v>
      </c>
      <c r="B296" s="15" t="s">
        <v>638</v>
      </c>
      <c r="D296" s="16" t="s">
        <v>514</v>
      </c>
      <c r="E296" s="17">
        <v>350.45</v>
      </c>
      <c r="F296" s="17">
        <v>269.42</v>
      </c>
      <c r="G296" s="17">
        <v>228.91</v>
      </c>
      <c r="H296" s="17">
        <v>313.98</v>
      </c>
      <c r="I296" s="17">
        <v>147.88</v>
      </c>
      <c r="J296" s="17">
        <v>228.91</v>
      </c>
      <c r="K296" s="17">
        <v>309.93</v>
      </c>
      <c r="L296" s="17">
        <v>390.96</v>
      </c>
      <c r="M296" s="17">
        <v>309.93</v>
      </c>
      <c r="N296" s="17">
        <v>188.39</v>
      </c>
      <c r="O296" s="17">
        <v>188.39</v>
      </c>
      <c r="P296" s="17">
        <v>269.42</v>
      </c>
      <c r="R296" s="18">
        <f>SUM(E296:P296)</f>
      </c>
      <c r="U296" s="20">
        <v>5418.83</v>
      </c>
      <c r="X296" s="21">
        <f>R296/$C$3</f>
      </c>
      <c r="Y296" s="21">
        <f>R296/$C$3/12</f>
      </c>
    </row>
    <row r="297" spans="1:25" s="13" customFormat="1" x14ac:dyDescent="0.25">
      <c r="A297" s="14" t="s">
        <v>639</v>
      </c>
      <c r="B297" s="13" t="s">
        <v>640</v>
      </c>
      <c r="E297" s="22">
        <f>SUM(E272:E296)</f>
      </c>
      <c r="F297" s="22">
        <f>SUM(F272:F296)</f>
      </c>
      <c r="G297" s="22">
        <f>SUM(G272:G296)</f>
      </c>
      <c r="H297" s="22">
        <f>SUM(H272:H296)</f>
      </c>
      <c r="I297" s="22">
        <f>SUM(I272:I296)</f>
      </c>
      <c r="J297" s="22">
        <f>SUM(J272:J296)</f>
      </c>
      <c r="K297" s="22">
        <f>SUM(K272:K296)</f>
      </c>
      <c r="L297" s="22">
        <f>SUM(L272:L296)</f>
      </c>
      <c r="M297" s="22">
        <f>SUM(M272:M296)</f>
      </c>
      <c r="N297" s="22">
        <f>SUM(N272:N296)</f>
      </c>
      <c r="O297" s="22">
        <f>SUM(O272:O296)</f>
      </c>
      <c r="P297" s="22">
        <f>SUM(P272:P296)</f>
      </c>
      <c r="R297" s="22">
        <f>SUM(E297:P297)</f>
      </c>
      <c r="T297" s="19">
        <v>137958.68</v>
      </c>
      <c r="X297" s="23">
        <f>R297/$C$3</f>
      </c>
      <c r="Y297" s="23">
        <f>R297/$C$3/12</f>
      </c>
    </row>
    <row r="298" spans="1:2" s="13" customFormat="1" x14ac:dyDescent="0.25">
      <c r="A298" s="14" t="s">
        <v>641</v>
      </c>
      <c r="B298" s="13" t="s">
        <v>642</v>
      </c>
    </row>
    <row r="299" spans="1:25" s="15" customFormat="1" x14ac:dyDescent="0.25">
      <c r="A299" s="14" t="s">
        <v>643</v>
      </c>
      <c r="B299" s="15" t="s">
        <v>644</v>
      </c>
      <c r="D299" s="16" t="s">
        <v>645</v>
      </c>
      <c r="E299" s="17">
        <v>468.72</v>
      </c>
      <c r="F299" s="17">
        <v>477.07</v>
      </c>
      <c r="G299" s="17">
        <v>502.14</v>
      </c>
      <c r="H299" s="17">
        <v>518.85</v>
      </c>
      <c r="I299" s="17">
        <v>552.27</v>
      </c>
      <c r="J299" s="17">
        <v>677.59</v>
      </c>
      <c r="K299" s="17">
        <v>777.85</v>
      </c>
      <c r="L299" s="17">
        <v>577.33</v>
      </c>
      <c r="M299" s="17">
        <v>468.72</v>
      </c>
      <c r="N299" s="17">
        <v>502.14</v>
      </c>
      <c r="O299" s="17">
        <v>552.27</v>
      </c>
      <c r="P299" s="17">
        <v>477.07</v>
      </c>
      <c r="R299" s="18">
        <f>SUM(E299:P299)</f>
      </c>
      <c r="U299" s="20">
        <v>17952.89</v>
      </c>
      <c r="X299" s="21">
        <f>R299/$C$3</f>
      </c>
      <c r="Y299" s="21">
        <f>R299/$C$3/12</f>
      </c>
    </row>
    <row r="300" spans="1:25" s="15" customFormat="1" x14ac:dyDescent="0.25">
      <c r="A300" s="14" t="s">
        <v>646</v>
      </c>
      <c r="B300" s="15" t="s">
        <v>647</v>
      </c>
      <c r="D300" s="16" t="s">
        <v>645</v>
      </c>
      <c r="E300" s="17">
        <v>10.86</v>
      </c>
      <c r="F300" s="17">
        <v>10.86</v>
      </c>
      <c r="G300" s="17">
        <v>10.86</v>
      </c>
      <c r="H300" s="17">
        <v>10.86</v>
      </c>
      <c r="I300" s="17">
        <v>10.86</v>
      </c>
      <c r="J300" s="17">
        <v>10.86</v>
      </c>
      <c r="K300" s="17">
        <v>10.86</v>
      </c>
      <c r="L300" s="17">
        <v>10.86</v>
      </c>
      <c r="M300" s="17">
        <v>10.86</v>
      </c>
      <c r="N300" s="17">
        <v>10.86</v>
      </c>
      <c r="O300" s="17">
        <v>10.86</v>
      </c>
      <c r="P300" s="17">
        <v>10.86</v>
      </c>
      <c r="R300" s="18">
        <f>SUM(E300:P300)</f>
      </c>
      <c r="U300" s="20">
        <v>357.13</v>
      </c>
      <c r="X300" s="21">
        <f>R300/$C$3</f>
      </c>
      <c r="Y300" s="21">
        <f>R300/$C$3/12</f>
      </c>
    </row>
    <row r="301" spans="1:25" s="15" customFormat="1" x14ac:dyDescent="0.25">
      <c r="A301" s="14" t="s">
        <v>648</v>
      </c>
      <c r="B301" s="15" t="s">
        <v>649</v>
      </c>
      <c r="D301" s="16" t="s">
        <v>645</v>
      </c>
      <c r="E301" s="17">
        <v>2172.32</v>
      </c>
      <c r="F301" s="17">
        <v>1478.84</v>
      </c>
      <c r="G301" s="17">
        <v>1269.97</v>
      </c>
      <c r="H301" s="17">
        <v>1253.26</v>
      </c>
      <c r="I301" s="17">
        <v>1370.23</v>
      </c>
      <c r="J301" s="17">
        <v>1503.91</v>
      </c>
      <c r="K301" s="17">
        <v>1528.98</v>
      </c>
      <c r="L301" s="17">
        <v>1946.73</v>
      </c>
      <c r="M301" s="17">
        <v>1921.66</v>
      </c>
      <c r="N301" s="17">
        <v>1996.85</v>
      </c>
      <c r="O301" s="17">
        <v>2172.31</v>
      </c>
      <c r="P301" s="17">
        <v>2122.18</v>
      </c>
      <c r="R301" s="18">
        <f>SUM(E301:P301)</f>
      </c>
      <c r="U301" s="20">
        <v>56821.07</v>
      </c>
      <c r="X301" s="21">
        <f>R301/$C$3</f>
      </c>
      <c r="Y301" s="21">
        <f>R301/$C$3/12</f>
      </c>
    </row>
    <row r="302" spans="1:25" s="15" customFormat="1" x14ac:dyDescent="0.25">
      <c r="A302" s="14" t="s">
        <v>650</v>
      </c>
      <c r="B302" s="15" t="s">
        <v>651</v>
      </c>
      <c r="D302" s="16" t="s">
        <v>645</v>
      </c>
      <c r="E302" s="17">
        <v>19.63</v>
      </c>
      <c r="F302" s="17">
        <v>19.63</v>
      </c>
      <c r="G302" s="17">
        <v>19.63</v>
      </c>
      <c r="H302" s="17">
        <v>19.63</v>
      </c>
      <c r="I302" s="17">
        <v>19.63</v>
      </c>
      <c r="J302" s="17">
        <v>19.63</v>
      </c>
      <c r="K302" s="17">
        <v>19.63</v>
      </c>
      <c r="L302" s="17">
        <v>19.63</v>
      </c>
      <c r="M302" s="17">
        <v>19.63</v>
      </c>
      <c r="N302" s="17">
        <v>19.63</v>
      </c>
      <c r="O302" s="17">
        <v>19.63</v>
      </c>
      <c r="P302" s="17">
        <v>19.63</v>
      </c>
      <c r="R302" s="18">
        <f>SUM(E302:P302)</f>
      </c>
      <c r="U302" s="20">
        <v>645.59</v>
      </c>
      <c r="X302" s="21">
        <f>R302/$C$3</f>
      </c>
      <c r="Y302" s="21">
        <f>R302/$C$3/12</f>
      </c>
    </row>
    <row r="303" spans="1:25" s="15" customFormat="1" x14ac:dyDescent="0.25">
      <c r="A303" s="14" t="s">
        <v>652</v>
      </c>
      <c r="B303" s="15" t="s">
        <v>653</v>
      </c>
      <c r="D303" s="16" t="s">
        <v>645</v>
      </c>
      <c r="E303" s="17">
        <v>20.06</v>
      </c>
      <c r="F303" s="17">
        <v>20.06</v>
      </c>
      <c r="G303" s="17">
        <v>20.06</v>
      </c>
      <c r="H303" s="17">
        <v>20.05</v>
      </c>
      <c r="I303" s="17">
        <v>20.05</v>
      </c>
      <c r="J303" s="17">
        <v>20.05</v>
      </c>
      <c r="K303" s="17">
        <v>20.05</v>
      </c>
      <c r="L303" s="17">
        <v>20.05</v>
      </c>
      <c r="M303" s="17">
        <v>20.05</v>
      </c>
      <c r="N303" s="17">
        <v>20.05</v>
      </c>
      <c r="O303" s="17">
        <v>20.05</v>
      </c>
      <c r="P303" s="17">
        <v>20.05</v>
      </c>
      <c r="R303" s="18">
        <f>SUM(E303:P303)</f>
      </c>
      <c r="U303" s="20">
        <v>659.33</v>
      </c>
      <c r="X303" s="21">
        <f>R303/$C$3</f>
      </c>
      <c r="Y303" s="21">
        <f>R303/$C$3/12</f>
      </c>
    </row>
    <row r="304" spans="1:25" s="15" customFormat="1" x14ac:dyDescent="0.25">
      <c r="A304" s="14" t="s">
        <v>654</v>
      </c>
      <c r="B304" s="15" t="s">
        <v>655</v>
      </c>
      <c r="D304" s="16" t="s">
        <v>645</v>
      </c>
      <c r="E304" s="17">
        <v>15.04</v>
      </c>
      <c r="F304" s="17">
        <v>15.04</v>
      </c>
      <c r="G304" s="17">
        <v>15.04</v>
      </c>
      <c r="H304" s="17">
        <v>15.04</v>
      </c>
      <c r="I304" s="17">
        <v>15.04</v>
      </c>
      <c r="J304" s="17">
        <v>15.04</v>
      </c>
      <c r="K304" s="17">
        <v>15.04</v>
      </c>
      <c r="L304" s="17">
        <v>15.04</v>
      </c>
      <c r="M304" s="17">
        <v>15.03</v>
      </c>
      <c r="N304" s="17">
        <v>15.03</v>
      </c>
      <c r="O304" s="17">
        <v>15.03</v>
      </c>
      <c r="P304" s="17">
        <v>15.03</v>
      </c>
      <c r="R304" s="18">
        <f>SUM(E304:P304)</f>
      </c>
      <c r="U304" s="20">
        <v>494.49</v>
      </c>
      <c r="X304" s="21">
        <f>R304/$C$3</f>
      </c>
      <c r="Y304" s="21">
        <f>R304/$C$3/12</f>
      </c>
    </row>
    <row r="305" spans="1:25" s="15" customFormat="1" x14ac:dyDescent="0.25">
      <c r="A305" s="14" t="s">
        <v>656</v>
      </c>
      <c r="B305" s="15" t="s">
        <v>657</v>
      </c>
      <c r="D305" s="16" t="s">
        <v>645</v>
      </c>
      <c r="E305" s="17">
        <v>37.13</v>
      </c>
      <c r="F305" s="17">
        <v>37.13</v>
      </c>
      <c r="G305" s="17">
        <v>37.13</v>
      </c>
      <c r="H305" s="17">
        <v>37.12</v>
      </c>
      <c r="I305" s="17">
        <v>37.12</v>
      </c>
      <c r="J305" s="17">
        <v>37.12</v>
      </c>
      <c r="K305" s="17">
        <v>37.12</v>
      </c>
      <c r="L305" s="17">
        <v>37.12</v>
      </c>
      <c r="M305" s="17">
        <v>37.12</v>
      </c>
      <c r="N305" s="17">
        <v>37.12</v>
      </c>
      <c r="O305" s="17">
        <v>37.12</v>
      </c>
      <c r="P305" s="17">
        <v>37.12</v>
      </c>
      <c r="R305" s="18">
        <f>SUM(E305:P305)</f>
      </c>
      <c r="U305" s="20">
        <v>1220.74</v>
      </c>
      <c r="X305" s="21">
        <f>R305/$C$3</f>
      </c>
      <c r="Y305" s="21">
        <f>R305/$C$3/12</f>
      </c>
    </row>
    <row r="306" spans="1:25" s="15" customFormat="1" x14ac:dyDescent="0.25">
      <c r="A306" s="14" t="s">
        <v>658</v>
      </c>
      <c r="B306" s="15" t="s">
        <v>659</v>
      </c>
      <c r="D306" s="16" t="s">
        <v>645</v>
      </c>
      <c r="E306" s="17">
        <v>26.32</v>
      </c>
      <c r="F306" s="17">
        <v>26.32</v>
      </c>
      <c r="G306" s="17">
        <v>26.32</v>
      </c>
      <c r="H306" s="17">
        <v>26.32</v>
      </c>
      <c r="I306" s="17">
        <v>26.32</v>
      </c>
      <c r="J306" s="17">
        <v>26.32</v>
      </c>
      <c r="K306" s="17">
        <v>26.32</v>
      </c>
      <c r="L306" s="17">
        <v>26.32</v>
      </c>
      <c r="M306" s="17">
        <v>26.31</v>
      </c>
      <c r="N306" s="17">
        <v>26.31</v>
      </c>
      <c r="O306" s="17">
        <v>26.31</v>
      </c>
      <c r="P306" s="17">
        <v>26.31</v>
      </c>
      <c r="R306" s="18">
        <f>SUM(E306:P306)</f>
      </c>
      <c r="U306" s="20">
        <v>865.37</v>
      </c>
      <c r="X306" s="21">
        <f>R306/$C$3</f>
      </c>
      <c r="Y306" s="21">
        <f>R306/$C$3/12</f>
      </c>
    </row>
    <row r="307" spans="1:25" s="15" customFormat="1" x14ac:dyDescent="0.25">
      <c r="A307" s="14" t="s">
        <v>660</v>
      </c>
      <c r="B307" s="15" t="s">
        <v>661</v>
      </c>
      <c r="D307" s="16" t="s">
        <v>645</v>
      </c>
      <c r="E307" s="17">
        <v>704.19</v>
      </c>
      <c r="F307" s="17">
        <v>566.33</v>
      </c>
      <c r="G307" s="17">
        <v>539.59</v>
      </c>
      <c r="H307" s="17">
        <v>537.09</v>
      </c>
      <c r="I307" s="17">
        <v>620.64</v>
      </c>
      <c r="J307" s="17">
        <v>620.64</v>
      </c>
      <c r="K307" s="17">
        <v>620.64</v>
      </c>
      <c r="L307" s="17">
        <v>620.64</v>
      </c>
      <c r="M307" s="17">
        <v>641.53</v>
      </c>
      <c r="N307" s="17">
        <v>662.41</v>
      </c>
      <c r="O307" s="17">
        <v>704.19</v>
      </c>
      <c r="P307" s="17">
        <v>704.19</v>
      </c>
      <c r="R307" s="18">
        <f>SUM(E307:P307)</f>
      </c>
      <c r="U307" s="20">
        <v>20665.74</v>
      </c>
      <c r="X307" s="21">
        <f>R307/$C$3</f>
      </c>
      <c r="Y307" s="21">
        <f>R307/$C$3/12</f>
      </c>
    </row>
    <row r="308" spans="1:25" s="15" customFormat="1" x14ac:dyDescent="0.25">
      <c r="A308" s="14" t="s">
        <v>662</v>
      </c>
      <c r="B308" s="15" t="s">
        <v>663</v>
      </c>
      <c r="D308" s="16" t="s">
        <v>645</v>
      </c>
      <c r="E308" s="17">
        <v>83.07</v>
      </c>
      <c r="F308" s="17">
        <v>83.07</v>
      </c>
      <c r="G308" s="17">
        <v>83.07</v>
      </c>
      <c r="H308" s="17">
        <v>83.07</v>
      </c>
      <c r="I308" s="17">
        <v>83.07</v>
      </c>
      <c r="J308" s="17">
        <v>83.07</v>
      </c>
      <c r="K308" s="17">
        <v>83.06</v>
      </c>
      <c r="L308" s="17">
        <v>83.06</v>
      </c>
      <c r="M308" s="17">
        <v>83.06</v>
      </c>
      <c r="N308" s="17">
        <v>83.06</v>
      </c>
      <c r="O308" s="17">
        <v>83.06</v>
      </c>
      <c r="P308" s="17">
        <v>83.06</v>
      </c>
      <c r="R308" s="18">
        <f>SUM(E308:P308)</f>
      </c>
      <c r="U308" s="20">
        <v>2731.2</v>
      </c>
      <c r="X308" s="21">
        <f>R308/$C$3</f>
      </c>
      <c r="Y308" s="21">
        <f>R308/$C$3/12</f>
      </c>
    </row>
    <row r="309" spans="1:25" s="15" customFormat="1" x14ac:dyDescent="0.25">
      <c r="A309" s="14" t="s">
        <v>664</v>
      </c>
      <c r="B309" s="15" t="s">
        <v>665</v>
      </c>
      <c r="D309" s="16" t="s">
        <v>645</v>
      </c>
      <c r="E309" s="17">
        <v>14.68</v>
      </c>
      <c r="F309" s="17">
        <v>14.68</v>
      </c>
      <c r="G309" s="17">
        <v>14.68</v>
      </c>
      <c r="H309" s="17">
        <v>14.67</v>
      </c>
      <c r="I309" s="17">
        <v>14.67</v>
      </c>
      <c r="J309" s="17">
        <v>14.67</v>
      </c>
      <c r="K309" s="17">
        <v>14.67</v>
      </c>
      <c r="L309" s="17">
        <v>14.67</v>
      </c>
      <c r="M309" s="17">
        <v>14.67</v>
      </c>
      <c r="N309" s="17">
        <v>14.67</v>
      </c>
      <c r="O309" s="17">
        <v>14.67</v>
      </c>
      <c r="P309" s="17">
        <v>14.67</v>
      </c>
      <c r="R309" s="18">
        <f>SUM(E309:P309)</f>
      </c>
      <c r="U309" s="20">
        <v>482.46</v>
      </c>
      <c r="X309" s="21">
        <f>R309/$C$3</f>
      </c>
      <c r="Y309" s="21">
        <f>R309/$C$3/12</f>
      </c>
    </row>
    <row r="310" spans="1:25" s="15" customFormat="1" x14ac:dyDescent="0.25">
      <c r="A310" s="14" t="s">
        <v>666</v>
      </c>
      <c r="B310" s="15" t="s">
        <v>667</v>
      </c>
      <c r="D310" s="16" t="s">
        <v>645</v>
      </c>
      <c r="E310" s="17">
        <v>8.36</v>
      </c>
      <c r="F310" s="17">
        <v>8.36</v>
      </c>
      <c r="G310" s="17">
        <v>8.36</v>
      </c>
      <c r="H310" s="17">
        <v>8.36</v>
      </c>
      <c r="I310" s="17">
        <v>8.36</v>
      </c>
      <c r="J310" s="17">
        <v>8.36</v>
      </c>
      <c r="K310" s="17">
        <v>8.36</v>
      </c>
      <c r="L310" s="17">
        <v>8.36</v>
      </c>
      <c r="M310" s="17">
        <v>8.36</v>
      </c>
      <c r="N310" s="17">
        <v>8.36</v>
      </c>
      <c r="O310" s="17">
        <v>8.36</v>
      </c>
      <c r="P310" s="17">
        <v>8.35</v>
      </c>
      <c r="R310" s="18">
        <f>SUM(E310:P310)</f>
      </c>
      <c r="U310" s="20">
        <v>274.72</v>
      </c>
      <c r="X310" s="21">
        <f>R310/$C$3</f>
      </c>
      <c r="Y310" s="21">
        <f>R310/$C$3/12</f>
      </c>
    </row>
    <row r="311" spans="1:25" s="15" customFormat="1" x14ac:dyDescent="0.25">
      <c r="A311" s="14" t="s">
        <v>668</v>
      </c>
      <c r="B311" s="15" t="s">
        <v>669</v>
      </c>
      <c r="D311" s="16" t="s">
        <v>45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R311" s="18">
        <f>SUM(E311:P311)</f>
      </c>
      <c r="X311" s="21">
        <f>R311/$C$3</f>
      </c>
      <c r="Y311" s="21">
        <f>R311/$C$3/12</f>
      </c>
    </row>
    <row r="312" spans="1:25" s="15" customFormat="1" x14ac:dyDescent="0.25">
      <c r="A312" s="14" t="s">
        <v>670</v>
      </c>
      <c r="B312" s="15" t="s">
        <v>671</v>
      </c>
      <c r="D312" s="16" t="s">
        <v>45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R312" s="18">
        <f>SUM(E312:P312)</f>
      </c>
      <c r="X312" s="21">
        <f>R312/$C$3</f>
      </c>
      <c r="Y312" s="21">
        <f>R312/$C$3/12</f>
      </c>
    </row>
    <row r="313" spans="1:25" s="15" customFormat="1" x14ac:dyDescent="0.25">
      <c r="A313" s="14" t="s">
        <v>672</v>
      </c>
      <c r="B313" s="15" t="s">
        <v>673</v>
      </c>
      <c r="D313" s="16" t="s">
        <v>45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R313" s="18">
        <f>SUM(E313:P313)</f>
      </c>
      <c r="X313" s="21">
        <f>R313/$C$3</f>
      </c>
      <c r="Y313" s="21">
        <f>R313/$C$3/12</f>
      </c>
    </row>
    <row r="314" spans="1:25" s="15" customFormat="1" x14ac:dyDescent="0.25">
      <c r="A314" s="14" t="s">
        <v>674</v>
      </c>
      <c r="B314" s="15" t="s">
        <v>675</v>
      </c>
      <c r="D314" s="16" t="s">
        <v>45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R314" s="18">
        <f>SUM(E314:P314)</f>
      </c>
      <c r="X314" s="21">
        <f>R314/$C$3</f>
      </c>
      <c r="Y314" s="21">
        <f>R314/$C$3/12</f>
      </c>
    </row>
    <row r="315" spans="1:25" s="13" customFormat="1" x14ac:dyDescent="0.25">
      <c r="A315" s="14" t="s">
        <v>676</v>
      </c>
      <c r="B315" s="13" t="s">
        <v>677</v>
      </c>
      <c r="E315" s="22">
        <f>SUM(E299:E314)</f>
      </c>
      <c r="F315" s="22">
        <f>SUM(F299:F314)</f>
      </c>
      <c r="G315" s="22">
        <f>SUM(G299:G314)</f>
      </c>
      <c r="H315" s="22">
        <f>SUM(H299:H314)</f>
      </c>
      <c r="I315" s="22">
        <f>SUM(I299:I314)</f>
      </c>
      <c r="J315" s="22">
        <f>SUM(J299:J314)</f>
      </c>
      <c r="K315" s="22">
        <f>SUM(K299:K314)</f>
      </c>
      <c r="L315" s="22">
        <f>SUM(L299:L314)</f>
      </c>
      <c r="M315" s="22">
        <f>SUM(M299:M314)</f>
      </c>
      <c r="N315" s="22">
        <f>SUM(N299:N314)</f>
      </c>
      <c r="O315" s="22">
        <f>SUM(O299:O314)</f>
      </c>
      <c r="P315" s="22">
        <f>SUM(P299:P314)</f>
      </c>
      <c r="R315" s="22">
        <f>SUM(E315:P315)</f>
      </c>
      <c r="T315" s="19">
        <v>57050</v>
      </c>
      <c r="X315" s="23">
        <f>R315/$C$3</f>
      </c>
      <c r="Y315" s="23">
        <f>R315/$C$3/12</f>
      </c>
    </row>
    <row r="316" spans="1:25" s="13" customFormat="1" x14ac:dyDescent="0.25">
      <c r="A316" s="14" t="s">
        <v>678</v>
      </c>
      <c r="B316" s="13" t="s">
        <v>679</v>
      </c>
      <c r="E316" s="22">
        <f>E255+E270+E297+E315</f>
      </c>
      <c r="F316" s="22">
        <f>F255+F270+F297+F315</f>
      </c>
      <c r="G316" s="22">
        <f>G255+G270+G297+G315</f>
      </c>
      <c r="H316" s="22">
        <f>H255+H270+H297+H315</f>
      </c>
      <c r="I316" s="22">
        <f>I255+I270+I297+I315</f>
      </c>
      <c r="J316" s="22">
        <f>J255+J270+J297+J315</f>
      </c>
      <c r="K316" s="22">
        <f>K255+K270+K297+K315</f>
      </c>
      <c r="L316" s="22">
        <f>L255+L270+L297+L315</f>
      </c>
      <c r="M316" s="22">
        <f>M255+M270+M297+M315</f>
      </c>
      <c r="N316" s="22">
        <f>N255+N270+N297+N315</f>
      </c>
      <c r="O316" s="22">
        <f>O255+O270+O297+O315</f>
      </c>
      <c r="P316" s="22">
        <f>P255+P270+P297+P315</f>
      </c>
      <c r="R316" s="22">
        <f>SUM(E316:P316)</f>
      </c>
      <c r="T316" s="19">
        <v>236350</v>
      </c>
      <c r="X316" s="23">
        <f>R316/$C$3</f>
      </c>
      <c r="Y316" s="23">
        <f>R316/$C$3/12</f>
      </c>
    </row>
    <row r="317" spans="1:25" s="13" customFormat="1" x14ac:dyDescent="0.25">
      <c r="A317" s="14" t="s">
        <v>680</v>
      </c>
      <c r="B317" s="13" t="s">
        <v>681</v>
      </c>
      <c r="E317" s="24">
        <f>E111+E155+E165+E185+E206+E231+E316</f>
      </c>
      <c r="F317" s="24">
        <f>F111+F155+F165+F185+F206+F231+F316</f>
      </c>
      <c r="G317" s="24">
        <f>G111+G155+G165+G185+G206+G231+G316</f>
      </c>
      <c r="H317" s="24">
        <f>H111+H155+H165+H185+H206+H231+H316</f>
      </c>
      <c r="I317" s="24">
        <f>I111+I155+I165+I185+I206+I231+I316</f>
      </c>
      <c r="J317" s="24">
        <f>J111+J155+J165+J185+J206+J231+J316</f>
      </c>
      <c r="K317" s="24">
        <f>K111+K155+K165+K185+K206+K231+K316</f>
      </c>
      <c r="L317" s="24">
        <f>L111+L155+L165+L185+L206+L231+L316</f>
      </c>
      <c r="M317" s="24">
        <f>M111+M155+M165+M185+M206+M231+M316</f>
      </c>
      <c r="N317" s="24">
        <f>N111+N155+N165+N185+N206+N231+N316</f>
      </c>
      <c r="O317" s="24">
        <f>O111+O155+O165+O185+O206+O231+O316</f>
      </c>
      <c r="P317" s="24">
        <f>P111+P155+P165+P185+P206+P231+P316</f>
      </c>
      <c r="R317" s="24">
        <f>SUM(E317:P317)</f>
      </c>
      <c r="T317" s="19">
        <v>1298476.0713847284</v>
      </c>
      <c r="X317" s="23">
        <f>R317/$C$3</f>
      </c>
      <c r="Y317" s="23">
        <f>R317/$C$3/12</f>
      </c>
    </row>
    <row r="318" spans="1:25" s="13" customFormat="1" x14ac:dyDescent="0.25">
      <c r="A318" s="14" t="s">
        <v>682</v>
      </c>
      <c r="B318" s="13" t="s">
        <v>683</v>
      </c>
      <c r="E318" s="24">
        <f>E317</f>
      </c>
      <c r="F318" s="24">
        <f>F317</f>
      </c>
      <c r="G318" s="24">
        <f>G317</f>
      </c>
      <c r="H318" s="24">
        <f>H317</f>
      </c>
      <c r="I318" s="24">
        <f>I317</f>
      </c>
      <c r="J318" s="24">
        <f>J317</f>
      </c>
      <c r="K318" s="24">
        <f>K317</f>
      </c>
      <c r="L318" s="24">
        <f>L317</f>
      </c>
      <c r="M318" s="24">
        <f>M317</f>
      </c>
      <c r="N318" s="24">
        <f>N317</f>
      </c>
      <c r="O318" s="24">
        <f>O317</f>
      </c>
      <c r="P318" s="24">
        <f>P317</f>
      </c>
      <c r="R318" s="24">
        <f>SUM(E318:P318)</f>
      </c>
      <c r="T318" s="19">
        <v>1298476.0713847284</v>
      </c>
      <c r="X318" s="23">
        <f>R318/$C$3</f>
      </c>
      <c r="Y318" s="23">
        <f>R318/$C$3/12</f>
      </c>
    </row>
    <row r="319" spans="1:25" s="13" customFormat="1" x14ac:dyDescent="0.25">
      <c r="A319" s="14" t="s">
        <v>684</v>
      </c>
      <c r="B319" s="13" t="s">
        <v>685</v>
      </c>
      <c r="E319" s="24">
        <f>E95-E318</f>
      </c>
      <c r="F319" s="24">
        <f>F95-F318</f>
      </c>
      <c r="G319" s="24">
        <f>G95-G318</f>
      </c>
      <c r="H319" s="24">
        <f>H95-H318</f>
      </c>
      <c r="I319" s="24">
        <f>I95-I318</f>
      </c>
      <c r="J319" s="24">
        <f>J95-J318</f>
      </c>
      <c r="K319" s="24">
        <f>K95-K318</f>
      </c>
      <c r="L319" s="24">
        <f>L95-L318</f>
      </c>
      <c r="M319" s="24">
        <f>M95-M318</f>
      </c>
      <c r="N319" s="24">
        <f>N95-N318</f>
      </c>
      <c r="O319" s="24">
        <f>O95-O318</f>
      </c>
      <c r="P319" s="24">
        <f>P95-P318</f>
      </c>
      <c r="R319" s="24">
        <f>SUM(E319:P319)</f>
      </c>
      <c r="T319" s="19">
        <v>2017940.954772884</v>
      </c>
      <c r="X319" s="23">
        <f>R319/$C$3</f>
      </c>
      <c r="Y319" s="23">
        <f>R319/$C$3/12</f>
      </c>
    </row>
    <row r="320" spans="1:2" s="13" customFormat="1" x14ac:dyDescent="0.25">
      <c r="A320" s="14" t="s">
        <v>686</v>
      </c>
      <c r="B320" s="13" t="s">
        <v>687</v>
      </c>
    </row>
    <row r="321" spans="1:25" s="15" customFormat="1" x14ac:dyDescent="0.25">
      <c r="A321" s="14" t="s">
        <v>688</v>
      </c>
      <c r="B321" s="15" t="s">
        <v>689</v>
      </c>
      <c r="D321" s="16" t="s">
        <v>45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R321" s="18">
        <f>SUM(E321:P321)</f>
      </c>
      <c r="U321" s="20">
        <v>626408.84</v>
      </c>
      <c r="X321" s="21">
        <f>R321/$C$3</f>
      </c>
      <c r="Y321" s="21">
        <f>R321/$C$3/12</f>
      </c>
    </row>
    <row r="322" spans="1:25" s="15" customFormat="1" x14ac:dyDescent="0.25">
      <c r="A322" s="14" t="s">
        <v>690</v>
      </c>
      <c r="B322" s="15" t="s">
        <v>691</v>
      </c>
      <c r="D322" s="16" t="s">
        <v>45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R322" s="18">
        <f>SUM(E322:P322)</f>
      </c>
      <c r="X322" s="21">
        <f>R322/$C$3</f>
      </c>
      <c r="Y322" s="21">
        <f>R322/$C$3/12</f>
      </c>
    </row>
    <row r="323" spans="1:25" s="15" customFormat="1" x14ac:dyDescent="0.25">
      <c r="A323" s="14" t="s">
        <v>692</v>
      </c>
      <c r="B323" s="15" t="s">
        <v>693</v>
      </c>
      <c r="D323" s="16" t="s">
        <v>45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R323" s="18">
        <f>SUM(E323:P323)</f>
      </c>
      <c r="U323" s="20">
        <v>936.49</v>
      </c>
      <c r="X323" s="21">
        <f>R323/$C$3</f>
      </c>
      <c r="Y323" s="21">
        <f>R323/$C$3/12</f>
      </c>
    </row>
    <row r="324" spans="1:25" s="13" customFormat="1" x14ac:dyDescent="0.25">
      <c r="A324" s="14" t="s">
        <v>694</v>
      </c>
      <c r="B324" s="13" t="s">
        <v>695</v>
      </c>
      <c r="E324" s="22">
        <f>SUM(E321:E323)</f>
      </c>
      <c r="F324" s="22">
        <f>SUM(F321:F323)</f>
      </c>
      <c r="G324" s="22">
        <f>SUM(G321:G323)</f>
      </c>
      <c r="H324" s="22">
        <f>SUM(H321:H323)</f>
      </c>
      <c r="I324" s="22">
        <f>SUM(I321:I323)</f>
      </c>
      <c r="J324" s="22">
        <f>SUM(J321:J323)</f>
      </c>
      <c r="K324" s="22">
        <f>SUM(K321:K323)</f>
      </c>
      <c r="L324" s="22">
        <f>SUM(L321:L323)</f>
      </c>
      <c r="M324" s="22">
        <f>SUM(M321:M323)</f>
      </c>
      <c r="N324" s="22">
        <f>SUM(N321:N323)</f>
      </c>
      <c r="O324" s="22">
        <f>SUM(O321:O323)</f>
      </c>
      <c r="P324" s="22">
        <f>SUM(P321:P323)</f>
      </c>
      <c r="R324" s="22">
        <f>SUM(E324:P324)</f>
      </c>
      <c r="X324" s="23">
        <f>R324/$C$3</f>
      </c>
      <c r="Y324" s="23">
        <f>R324/$C$3/12</f>
      </c>
    </row>
    <row r="325" spans="1:2" s="13" customFormat="1" x14ac:dyDescent="0.25">
      <c r="A325" s="14" t="s">
        <v>696</v>
      </c>
      <c r="B325" s="13" t="s">
        <v>697</v>
      </c>
    </row>
    <row r="326" spans="1:25" s="15" customFormat="1" x14ac:dyDescent="0.25">
      <c r="A326" s="14" t="s">
        <v>698</v>
      </c>
      <c r="B326" s="15" t="s">
        <v>699</v>
      </c>
      <c r="D326" s="16" t="s">
        <v>45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R326" s="18">
        <f>SUM(E326:P326)</f>
      </c>
      <c r="X326" s="21">
        <f>R326/$C$3</f>
      </c>
      <c r="Y326" s="21">
        <f>R326/$C$3/12</f>
      </c>
    </row>
    <row r="327" spans="1:25" s="15" customFormat="1" x14ac:dyDescent="0.25">
      <c r="A327" s="14" t="s">
        <v>700</v>
      </c>
      <c r="B327" s="15" t="s">
        <v>701</v>
      </c>
      <c r="D327" s="16" t="s">
        <v>45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R327" s="18">
        <f>SUM(E327:P327)</f>
      </c>
      <c r="U327" s="20">
        <v>11446.63</v>
      </c>
      <c r="X327" s="21">
        <f>R327/$C$3</f>
      </c>
      <c r="Y327" s="21">
        <f>R327/$C$3/12</f>
      </c>
    </row>
    <row r="328" spans="1:25" s="15" customFormat="1" x14ac:dyDescent="0.25">
      <c r="A328" s="14" t="s">
        <v>702</v>
      </c>
      <c r="B328" s="15" t="s">
        <v>703</v>
      </c>
      <c r="D328" s="16" t="s">
        <v>45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R328" s="18">
        <f>SUM(E328:P328)</f>
      </c>
      <c r="X328" s="21">
        <f>R328/$C$3</f>
      </c>
      <c r="Y328" s="21">
        <f>R328/$C$3/12</f>
      </c>
    </row>
    <row r="329" spans="1:25" s="15" customFormat="1" x14ac:dyDescent="0.25">
      <c r="A329" s="14" t="s">
        <v>704</v>
      </c>
      <c r="B329" s="15" t="s">
        <v>705</v>
      </c>
      <c r="D329" s="16" t="s">
        <v>45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R329" s="18">
        <f>SUM(E329:P329)</f>
      </c>
      <c r="X329" s="21">
        <f>R329/$C$3</f>
      </c>
      <c r="Y329" s="21">
        <f>R329/$C$3/12</f>
      </c>
    </row>
    <row r="330" spans="1:25" s="15" customFormat="1" x14ac:dyDescent="0.25">
      <c r="A330" s="14" t="s">
        <v>706</v>
      </c>
      <c r="B330" s="15" t="s">
        <v>707</v>
      </c>
      <c r="D330" s="16" t="s">
        <v>45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R330" s="18">
        <f>SUM(E330:P330)</f>
      </c>
      <c r="U330" s="20">
        <v>11446.63</v>
      </c>
      <c r="X330" s="21">
        <f>R330/$C$3</f>
      </c>
      <c r="Y330" s="21">
        <f>R330/$C$3/12</f>
      </c>
    </row>
    <row r="331" spans="1:25" s="15" customFormat="1" x14ac:dyDescent="0.25">
      <c r="A331" s="14" t="s">
        <v>708</v>
      </c>
      <c r="B331" s="15" t="s">
        <v>709</v>
      </c>
      <c r="D331" s="16" t="s">
        <v>45</v>
      </c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R331" s="18">
        <f>SUM(E331:P331)</f>
      </c>
      <c r="X331" s="21">
        <f>R331/$C$3</f>
      </c>
      <c r="Y331" s="21">
        <f>R331/$C$3/12</f>
      </c>
    </row>
    <row r="332" spans="1:25" s="15" customFormat="1" x14ac:dyDescent="0.25">
      <c r="A332" s="14" t="s">
        <v>710</v>
      </c>
      <c r="B332" s="15" t="s">
        <v>711</v>
      </c>
      <c r="D332" s="16" t="s">
        <v>45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R332" s="18">
        <f>SUM(E332:P332)</f>
      </c>
      <c r="X332" s="21">
        <f>R332/$C$3</f>
      </c>
      <c r="Y332" s="21">
        <f>R332/$C$3/12</f>
      </c>
    </row>
    <row r="333" spans="1:25" s="15" customFormat="1" x14ac:dyDescent="0.25">
      <c r="A333" s="14" t="s">
        <v>712</v>
      </c>
      <c r="B333" s="15" t="s">
        <v>713</v>
      </c>
      <c r="D333" s="16" t="s">
        <v>45</v>
      </c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R333" s="18">
        <f>SUM(E333:P333)</f>
      </c>
      <c r="X333" s="21">
        <f>R333/$C$3</f>
      </c>
      <c r="Y333" s="21">
        <f>R333/$C$3/12</f>
      </c>
    </row>
    <row r="334" spans="1:25" s="15" customFormat="1" x14ac:dyDescent="0.25">
      <c r="A334" s="14" t="s">
        <v>714</v>
      </c>
      <c r="B334" s="15" t="s">
        <v>715</v>
      </c>
      <c r="D334" s="16" t="s">
        <v>45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R334" s="18">
        <f>SUM(E334:P334)</f>
      </c>
      <c r="X334" s="21">
        <f>R334/$C$3</f>
      </c>
      <c r="Y334" s="21">
        <f>R334/$C$3/12</f>
      </c>
    </row>
    <row r="335" spans="1:25" s="15" customFormat="1" x14ac:dyDescent="0.25">
      <c r="A335" s="14" t="s">
        <v>716</v>
      </c>
      <c r="B335" s="15" t="s">
        <v>717</v>
      </c>
      <c r="D335" s="16" t="s">
        <v>45</v>
      </c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R335" s="18">
        <f>SUM(E335:P335)</f>
      </c>
      <c r="U335" s="20">
        <v>3433.99</v>
      </c>
      <c r="X335" s="21">
        <f>R335/$C$3</f>
      </c>
      <c r="Y335" s="21">
        <f>R335/$C$3/12</f>
      </c>
    </row>
    <row r="336" spans="1:25" s="15" customFormat="1" x14ac:dyDescent="0.25">
      <c r="A336" s="14" t="s">
        <v>718</v>
      </c>
      <c r="B336" s="15" t="s">
        <v>719</v>
      </c>
      <c r="D336" s="16" t="s">
        <v>45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R336" s="18">
        <f>SUM(E336:P336)</f>
      </c>
      <c r="X336" s="21">
        <f>R336/$C$3</f>
      </c>
      <c r="Y336" s="21">
        <f>R336/$C$3/12</f>
      </c>
    </row>
    <row r="337" spans="1:25" s="15" customFormat="1" x14ac:dyDescent="0.25">
      <c r="A337" s="14" t="s">
        <v>720</v>
      </c>
      <c r="B337" s="15" t="s">
        <v>721</v>
      </c>
      <c r="D337" s="16" t="s">
        <v>45</v>
      </c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R337" s="18">
        <f>SUM(E337:P337)</f>
      </c>
      <c r="X337" s="21">
        <f>R337/$C$3</f>
      </c>
      <c r="Y337" s="21">
        <f>R337/$C$3/12</f>
      </c>
    </row>
    <row r="338" spans="1:25" s="15" customFormat="1" x14ac:dyDescent="0.25">
      <c r="A338" s="14" t="s">
        <v>722</v>
      </c>
      <c r="B338" s="15" t="s">
        <v>723</v>
      </c>
      <c r="D338" s="16" t="s">
        <v>45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R338" s="18">
        <f>SUM(E338:P338)</f>
      </c>
      <c r="X338" s="21">
        <f>R338/$C$3</f>
      </c>
      <c r="Y338" s="21">
        <f>R338/$C$3/12</f>
      </c>
    </row>
    <row r="339" spans="1:25" s="15" customFormat="1" x14ac:dyDescent="0.25">
      <c r="A339" s="14" t="s">
        <v>724</v>
      </c>
      <c r="B339" s="15" t="s">
        <v>725</v>
      </c>
      <c r="D339" s="16" t="s">
        <v>45</v>
      </c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R339" s="18">
        <f>SUM(E339:P339)</f>
      </c>
      <c r="U339" s="20">
        <v>12591.29</v>
      </c>
      <c r="X339" s="21">
        <f>R339/$C$3</f>
      </c>
      <c r="Y339" s="21">
        <f>R339/$C$3/12</f>
      </c>
    </row>
    <row r="340" spans="1:25" s="15" customFormat="1" x14ac:dyDescent="0.25">
      <c r="A340" s="14" t="s">
        <v>726</v>
      </c>
      <c r="B340" s="15" t="s">
        <v>727</v>
      </c>
      <c r="D340" s="16" t="s">
        <v>45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R340" s="18">
        <f>SUM(E340:P340)</f>
      </c>
      <c r="X340" s="21">
        <f>R340/$C$3</f>
      </c>
      <c r="Y340" s="21">
        <f>R340/$C$3/12</f>
      </c>
    </row>
    <row r="341" spans="1:25" s="15" customFormat="1" x14ac:dyDescent="0.25">
      <c r="A341" s="14" t="s">
        <v>728</v>
      </c>
      <c r="B341" s="15" t="s">
        <v>729</v>
      </c>
      <c r="D341" s="16" t="s">
        <v>45</v>
      </c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R341" s="18">
        <f>SUM(E341:P341)</f>
      </c>
      <c r="X341" s="21">
        <f>R341/$C$3</f>
      </c>
      <c r="Y341" s="21">
        <f>R341/$C$3/12</f>
      </c>
    </row>
    <row r="342" spans="1:25" s="15" customFormat="1" x14ac:dyDescent="0.25">
      <c r="A342" s="14" t="s">
        <v>730</v>
      </c>
      <c r="B342" s="15" t="s">
        <v>731</v>
      </c>
      <c r="D342" s="16" t="s">
        <v>45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R342" s="18">
        <f>SUM(E342:P342)</f>
      </c>
      <c r="U342" s="20">
        <v>4006.32</v>
      </c>
      <c r="X342" s="21">
        <f>R342/$C$3</f>
      </c>
      <c r="Y342" s="21">
        <f>R342/$C$3/12</f>
      </c>
    </row>
    <row r="343" spans="1:25" s="15" customFormat="1" x14ac:dyDescent="0.25">
      <c r="A343" s="14" t="s">
        <v>732</v>
      </c>
      <c r="B343" s="15" t="s">
        <v>733</v>
      </c>
      <c r="D343" s="16" t="s">
        <v>45</v>
      </c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R343" s="18">
        <f>SUM(E343:P343)</f>
      </c>
      <c r="U343" s="20">
        <v>16025.28</v>
      </c>
      <c r="X343" s="21">
        <f>R343/$C$3</f>
      </c>
      <c r="Y343" s="21">
        <f>R343/$C$3/12</f>
      </c>
    </row>
    <row r="344" spans="1:25" s="15" customFormat="1" x14ac:dyDescent="0.25">
      <c r="A344" s="14" t="s">
        <v>734</v>
      </c>
      <c r="B344" s="15" t="s">
        <v>735</v>
      </c>
      <c r="D344" s="16" t="s">
        <v>45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R344" s="18">
        <f>SUM(E344:P344)</f>
      </c>
      <c r="U344" s="20">
        <v>6867.98</v>
      </c>
      <c r="X344" s="21">
        <f>R344/$C$3</f>
      </c>
      <c r="Y344" s="21">
        <f>R344/$C$3/12</f>
      </c>
    </row>
    <row r="345" spans="1:25" s="15" customFormat="1" x14ac:dyDescent="0.25">
      <c r="A345" s="14" t="s">
        <v>736</v>
      </c>
      <c r="B345" s="15" t="s">
        <v>737</v>
      </c>
      <c r="D345" s="16" t="s">
        <v>45</v>
      </c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R345" s="18">
        <f>SUM(E345:P345)</f>
      </c>
      <c r="X345" s="21">
        <f>R345/$C$3</f>
      </c>
      <c r="Y345" s="21">
        <f>R345/$C$3/12</f>
      </c>
    </row>
    <row r="346" spans="1:25" s="15" customFormat="1" x14ac:dyDescent="0.25">
      <c r="A346" s="14" t="s">
        <v>738</v>
      </c>
      <c r="B346" s="15" t="s">
        <v>739</v>
      </c>
      <c r="D346" s="16" t="s">
        <v>45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R346" s="18">
        <f>SUM(E346:P346)</f>
      </c>
      <c r="X346" s="21">
        <f>R346/$C$3</f>
      </c>
      <c r="Y346" s="21">
        <f>R346/$C$3/12</f>
      </c>
    </row>
    <row r="347" spans="1:25" s="15" customFormat="1" x14ac:dyDescent="0.25">
      <c r="A347" s="14" t="s">
        <v>740</v>
      </c>
      <c r="B347" s="15" t="s">
        <v>741</v>
      </c>
      <c r="D347" s="16" t="s">
        <v>45</v>
      </c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R347" s="18">
        <f>SUM(E347:P347)</f>
      </c>
      <c r="X347" s="21">
        <f>R347/$C$3</f>
      </c>
      <c r="Y347" s="21">
        <f>R347/$C$3/12</f>
      </c>
    </row>
    <row r="348" spans="1:25" s="15" customFormat="1" x14ac:dyDescent="0.25">
      <c r="A348" s="14" t="s">
        <v>742</v>
      </c>
      <c r="B348" s="15" t="s">
        <v>743</v>
      </c>
      <c r="D348" s="16" t="s">
        <v>45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R348" s="18">
        <f>SUM(E348:P348)</f>
      </c>
      <c r="U348" s="20">
        <v>2747.19</v>
      </c>
      <c r="X348" s="21">
        <f>R348/$C$3</f>
      </c>
      <c r="Y348" s="21">
        <f>R348/$C$3/12</f>
      </c>
    </row>
    <row r="349" spans="1:25" s="15" customFormat="1" x14ac:dyDescent="0.25">
      <c r="A349" s="14" t="s">
        <v>744</v>
      </c>
      <c r="B349" s="15" t="s">
        <v>745</v>
      </c>
      <c r="D349" s="16" t="s">
        <v>45</v>
      </c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R349" s="18">
        <f>SUM(E349:P349)</f>
      </c>
      <c r="X349" s="21">
        <f>R349/$C$3</f>
      </c>
      <c r="Y349" s="21">
        <f>R349/$C$3/12</f>
      </c>
    </row>
    <row r="350" spans="1:25" s="15" customFormat="1" x14ac:dyDescent="0.25">
      <c r="A350" s="14" t="s">
        <v>746</v>
      </c>
      <c r="B350" s="15" t="s">
        <v>747</v>
      </c>
      <c r="D350" s="16" t="s">
        <v>45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R350" s="18">
        <f>SUM(E350:P350)</f>
      </c>
      <c r="U350" s="20">
        <v>5036.52</v>
      </c>
      <c r="X350" s="21">
        <f>R350/$C$3</f>
      </c>
      <c r="Y350" s="21">
        <f>R350/$C$3/12</f>
      </c>
    </row>
    <row r="351" spans="1:25" s="15" customFormat="1" x14ac:dyDescent="0.25">
      <c r="A351" s="14" t="s">
        <v>748</v>
      </c>
      <c r="B351" s="15" t="s">
        <v>749</v>
      </c>
      <c r="D351" s="16" t="s">
        <v>45</v>
      </c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R351" s="18">
        <f>SUM(E351:P351)</f>
      </c>
      <c r="X351" s="21">
        <f>R351/$C$3</f>
      </c>
      <c r="Y351" s="21">
        <f>R351/$C$3/12</f>
      </c>
    </row>
    <row r="352" spans="1:25" s="15" customFormat="1" x14ac:dyDescent="0.25">
      <c r="A352" s="14" t="s">
        <v>750</v>
      </c>
      <c r="B352" s="15" t="s">
        <v>751</v>
      </c>
      <c r="D352" s="16" t="s">
        <v>45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R352" s="18">
        <f>SUM(E352:P352)</f>
      </c>
      <c r="U352" s="20">
        <v>8012.64</v>
      </c>
      <c r="X352" s="21">
        <f>R352/$C$3</f>
      </c>
      <c r="Y352" s="21">
        <f>R352/$C$3/12</f>
      </c>
    </row>
    <row r="353" spans="1:25" s="15" customFormat="1" x14ac:dyDescent="0.25">
      <c r="A353" s="14" t="s">
        <v>752</v>
      </c>
      <c r="B353" s="15" t="s">
        <v>753</v>
      </c>
      <c r="D353" s="16" t="s">
        <v>45</v>
      </c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R353" s="18">
        <f>SUM(E353:P353)</f>
      </c>
      <c r="X353" s="21">
        <f>R353/$C$3</f>
      </c>
      <c r="Y353" s="21">
        <f>R353/$C$3/12</f>
      </c>
    </row>
    <row r="354" spans="1:25" s="15" customFormat="1" x14ac:dyDescent="0.25">
      <c r="A354" s="14" t="s">
        <v>754</v>
      </c>
      <c r="B354" s="15" t="s">
        <v>755</v>
      </c>
      <c r="D354" s="16" t="s">
        <v>45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R354" s="18">
        <f>SUM(E354:P354)</f>
      </c>
      <c r="X354" s="21">
        <f>R354/$C$3</f>
      </c>
      <c r="Y354" s="21">
        <f>R354/$C$3/12</f>
      </c>
    </row>
    <row r="355" spans="1:25" s="15" customFormat="1" x14ac:dyDescent="0.25">
      <c r="A355" s="14" t="s">
        <v>756</v>
      </c>
      <c r="B355" s="15" t="s">
        <v>757</v>
      </c>
      <c r="D355" s="16" t="s">
        <v>45</v>
      </c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R355" s="18">
        <f>SUM(E355:P355)</f>
      </c>
      <c r="X355" s="21">
        <f>R355/$C$3</f>
      </c>
      <c r="Y355" s="21">
        <f>R355/$C$3/12</f>
      </c>
    </row>
    <row r="356" spans="1:25" s="15" customFormat="1" x14ac:dyDescent="0.25">
      <c r="A356" s="14" t="s">
        <v>758</v>
      </c>
      <c r="B356" s="15" t="s">
        <v>759</v>
      </c>
      <c r="D356" s="16" t="s">
        <v>45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R356" s="18">
        <f>SUM(E356:P356)</f>
      </c>
      <c r="X356" s="21">
        <f>R356/$C$3</f>
      </c>
      <c r="Y356" s="21">
        <f>R356/$C$3/12</f>
      </c>
    </row>
    <row r="357" spans="1:25" s="15" customFormat="1" x14ac:dyDescent="0.25">
      <c r="A357" s="14" t="s">
        <v>760</v>
      </c>
      <c r="B357" s="15" t="s">
        <v>761</v>
      </c>
      <c r="D357" s="16" t="s">
        <v>45</v>
      </c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R357" s="18">
        <f>SUM(E357:P357)</f>
      </c>
      <c r="U357" s="20">
        <v>2747.19</v>
      </c>
      <c r="X357" s="21">
        <f>R357/$C$3</f>
      </c>
      <c r="Y357" s="21">
        <f>R357/$C$3/12</f>
      </c>
    </row>
    <row r="358" spans="1:25" s="15" customFormat="1" x14ac:dyDescent="0.25">
      <c r="A358" s="14" t="s">
        <v>762</v>
      </c>
      <c r="B358" s="15" t="s">
        <v>763</v>
      </c>
      <c r="D358" s="16" t="s">
        <v>45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R358" s="18">
        <f>SUM(E358:P358)</f>
      </c>
      <c r="X358" s="21">
        <f>R358/$C$3</f>
      </c>
      <c r="Y358" s="21">
        <f>R358/$C$3/12</f>
      </c>
    </row>
    <row r="359" spans="1:25" s="15" customFormat="1" x14ac:dyDescent="0.25">
      <c r="A359" s="14" t="s">
        <v>764</v>
      </c>
      <c r="B359" s="15" t="s">
        <v>765</v>
      </c>
      <c r="D359" s="16" t="s">
        <v>45</v>
      </c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R359" s="18">
        <f>SUM(E359:P359)</f>
      </c>
      <c r="X359" s="21">
        <f>R359/$C$3</f>
      </c>
      <c r="Y359" s="21">
        <f>R359/$C$3/12</f>
      </c>
    </row>
    <row r="360" spans="1:25" s="15" customFormat="1" x14ac:dyDescent="0.25">
      <c r="A360" s="14" t="s">
        <v>766</v>
      </c>
      <c r="B360" s="15" t="s">
        <v>767</v>
      </c>
      <c r="D360" s="16" t="s">
        <v>45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R360" s="18">
        <f>SUM(E360:P360)</f>
      </c>
      <c r="X360" s="21">
        <f>R360/$C$3</f>
      </c>
      <c r="Y360" s="21">
        <f>R360/$C$3/12</f>
      </c>
    </row>
    <row r="361" spans="1:25" s="15" customFormat="1" x14ac:dyDescent="0.25">
      <c r="A361" s="14" t="s">
        <v>768</v>
      </c>
      <c r="B361" s="15" t="s">
        <v>769</v>
      </c>
      <c r="D361" s="16" t="s">
        <v>45</v>
      </c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R361" s="18">
        <f>SUM(E361:P361)</f>
      </c>
      <c r="X361" s="21">
        <f>R361/$C$3</f>
      </c>
      <c r="Y361" s="21">
        <f>R361/$C$3/12</f>
      </c>
    </row>
    <row r="362" spans="1:25" s="15" customFormat="1" x14ac:dyDescent="0.25">
      <c r="A362" s="14" t="s">
        <v>770</v>
      </c>
      <c r="B362" s="15" t="s">
        <v>771</v>
      </c>
      <c r="D362" s="16" t="s">
        <v>45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R362" s="18">
        <f>SUM(E362:P362)</f>
      </c>
      <c r="X362" s="21">
        <f>R362/$C$3</f>
      </c>
      <c r="Y362" s="21">
        <f>R362/$C$3/12</f>
      </c>
    </row>
    <row r="363" spans="1:25" s="15" customFormat="1" x14ac:dyDescent="0.25">
      <c r="A363" s="14" t="s">
        <v>772</v>
      </c>
      <c r="B363" s="15" t="s">
        <v>773</v>
      </c>
      <c r="D363" s="16" t="s">
        <v>45</v>
      </c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R363" s="18">
        <f>SUM(E363:P363)</f>
      </c>
      <c r="X363" s="21">
        <f>R363/$C$3</f>
      </c>
      <c r="Y363" s="21">
        <f>R363/$C$3/12</f>
      </c>
    </row>
    <row r="364" spans="1:25" s="15" customFormat="1" x14ac:dyDescent="0.25">
      <c r="A364" s="14" t="s">
        <v>774</v>
      </c>
      <c r="B364" s="15" t="s">
        <v>775</v>
      </c>
      <c r="D364" s="16" t="s">
        <v>45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R364" s="18">
        <f>SUM(E364:P364)</f>
      </c>
      <c r="X364" s="21">
        <f>R364/$C$3</f>
      </c>
      <c r="Y364" s="21">
        <f>R364/$C$3/12</f>
      </c>
    </row>
    <row r="365" spans="1:25" s="15" customFormat="1" x14ac:dyDescent="0.25">
      <c r="A365" s="14" t="s">
        <v>776</v>
      </c>
      <c r="B365" s="15" t="s">
        <v>777</v>
      </c>
      <c r="D365" s="16" t="s">
        <v>45</v>
      </c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R365" s="18">
        <f>SUM(E365:P365)</f>
      </c>
      <c r="X365" s="21">
        <f>R365/$C$3</f>
      </c>
      <c r="Y365" s="21">
        <f>R365/$C$3/12</f>
      </c>
    </row>
    <row r="366" spans="1:25" s="15" customFormat="1" x14ac:dyDescent="0.25">
      <c r="A366" s="14" t="s">
        <v>778</v>
      </c>
      <c r="B366" s="15" t="s">
        <v>779</v>
      </c>
      <c r="D366" s="16" t="s">
        <v>45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R366" s="18">
        <f>SUM(E366:P366)</f>
      </c>
      <c r="X366" s="21">
        <f>R366/$C$3</f>
      </c>
      <c r="Y366" s="21">
        <f>R366/$C$3/12</f>
      </c>
    </row>
    <row r="367" spans="1:25" s="15" customFormat="1" x14ac:dyDescent="0.25">
      <c r="A367" s="14" t="s">
        <v>780</v>
      </c>
      <c r="B367" s="15" t="s">
        <v>781</v>
      </c>
      <c r="D367" s="16" t="s">
        <v>45</v>
      </c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R367" s="18">
        <f>SUM(E367:P367)</f>
      </c>
      <c r="X367" s="21">
        <f>R367/$C$3</f>
      </c>
      <c r="Y367" s="21">
        <f>R367/$C$3/12</f>
      </c>
    </row>
    <row r="368" spans="1:25" s="15" customFormat="1" x14ac:dyDescent="0.25">
      <c r="A368" s="14" t="s">
        <v>782</v>
      </c>
      <c r="B368" s="15" t="s">
        <v>783</v>
      </c>
      <c r="D368" s="16" t="s">
        <v>45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R368" s="18">
        <f>SUM(E368:P368)</f>
      </c>
      <c r="U368" s="20">
        <v>12591.29</v>
      </c>
      <c r="X368" s="21">
        <f>R368/$C$3</f>
      </c>
      <c r="Y368" s="21">
        <f>R368/$C$3/12</f>
      </c>
    </row>
    <row r="369" spans="1:25" s="15" customFormat="1" x14ac:dyDescent="0.25">
      <c r="A369" s="14" t="s">
        <v>784</v>
      </c>
      <c r="B369" s="15" t="s">
        <v>785</v>
      </c>
      <c r="D369" s="16" t="s">
        <v>45</v>
      </c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R369" s="18">
        <f>SUM(E369:P369)</f>
      </c>
      <c r="U369" s="20">
        <v>6524.58</v>
      </c>
      <c r="X369" s="21">
        <f>R369/$C$3</f>
      </c>
      <c r="Y369" s="21">
        <f>R369/$C$3/12</f>
      </c>
    </row>
    <row r="370" spans="1:25" s="15" customFormat="1" x14ac:dyDescent="0.25">
      <c r="A370" s="14" t="s">
        <v>786</v>
      </c>
      <c r="B370" s="15" t="s">
        <v>787</v>
      </c>
      <c r="D370" s="16" t="s">
        <v>45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R370" s="18">
        <f>SUM(E370:P370)</f>
      </c>
      <c r="X370" s="21">
        <f>R370/$C$3</f>
      </c>
      <c r="Y370" s="21">
        <f>R370/$C$3/12</f>
      </c>
    </row>
    <row r="371" spans="1:25" s="15" customFormat="1" x14ac:dyDescent="0.25">
      <c r="A371" s="14" t="s">
        <v>788</v>
      </c>
      <c r="B371" s="15" t="s">
        <v>789</v>
      </c>
      <c r="D371" s="16" t="s">
        <v>45</v>
      </c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R371" s="18">
        <f>SUM(E371:P371)</f>
      </c>
      <c r="X371" s="21">
        <f>R371/$C$3</f>
      </c>
      <c r="Y371" s="21">
        <f>R371/$C$3/12</f>
      </c>
    </row>
    <row r="372" spans="1:25" s="15" customFormat="1" x14ac:dyDescent="0.25">
      <c r="A372" s="14" t="s">
        <v>790</v>
      </c>
      <c r="B372" s="15" t="s">
        <v>791</v>
      </c>
      <c r="D372" s="16" t="s">
        <v>45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R372" s="18">
        <f>SUM(E372:P372)</f>
      </c>
      <c r="X372" s="21">
        <f>R372/$C$3</f>
      </c>
      <c r="Y372" s="21">
        <f>R372/$C$3/12</f>
      </c>
    </row>
    <row r="373" spans="1:25" s="15" customFormat="1" x14ac:dyDescent="0.25">
      <c r="A373" s="14" t="s">
        <v>792</v>
      </c>
      <c r="B373" s="15" t="s">
        <v>793</v>
      </c>
      <c r="D373" s="16" t="s">
        <v>45</v>
      </c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R373" s="18">
        <f>SUM(E373:P373)</f>
      </c>
      <c r="X373" s="21">
        <f>R373/$C$3</f>
      </c>
      <c r="Y373" s="21">
        <f>R373/$C$3/12</f>
      </c>
    </row>
    <row r="374" spans="1:25" s="15" customFormat="1" x14ac:dyDescent="0.25">
      <c r="A374" s="14" t="s">
        <v>794</v>
      </c>
      <c r="B374" s="15" t="s">
        <v>795</v>
      </c>
      <c r="D374" s="16" t="s">
        <v>45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R374" s="18">
        <f>SUM(E374:P374)</f>
      </c>
      <c r="X374" s="21">
        <f>R374/$C$3</f>
      </c>
      <c r="Y374" s="21">
        <f>R374/$C$3/12</f>
      </c>
    </row>
    <row r="375" spans="1:25" s="15" customFormat="1" x14ac:dyDescent="0.25">
      <c r="A375" s="14" t="s">
        <v>796</v>
      </c>
      <c r="B375" s="15" t="s">
        <v>797</v>
      </c>
      <c r="D375" s="16" t="s">
        <v>45</v>
      </c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R375" s="18">
        <f>SUM(E375:P375)</f>
      </c>
      <c r="X375" s="21">
        <f>R375/$C$3</f>
      </c>
      <c r="Y375" s="21">
        <f>R375/$C$3/12</f>
      </c>
    </row>
    <row r="376" spans="1:25" s="13" customFormat="1" x14ac:dyDescent="0.25">
      <c r="A376" s="14" t="s">
        <v>798</v>
      </c>
      <c r="B376" s="13" t="s">
        <v>799</v>
      </c>
      <c r="E376" s="22">
        <f>SUM(E326:E391)</f>
      </c>
      <c r="F376" s="22">
        <f>SUM(F326:F391)</f>
      </c>
      <c r="G376" s="22">
        <f>SUM(G326:G391)</f>
      </c>
      <c r="H376" s="22">
        <f>SUM(H326:H391)</f>
      </c>
      <c r="I376" s="22">
        <f>SUM(I326:I391)</f>
      </c>
      <c r="J376" s="22">
        <f>SUM(J326:J391)</f>
      </c>
      <c r="K376" s="22">
        <f>SUM(K326:K391)</f>
      </c>
      <c r="L376" s="22">
        <f>SUM(L326:L391)</f>
      </c>
      <c r="M376" s="22">
        <f>SUM(M326:M391)</f>
      </c>
      <c r="N376" s="22">
        <f>SUM(N326:N391)</f>
      </c>
      <c r="O376" s="22">
        <f>SUM(O326:O391)</f>
      </c>
      <c r="P376" s="22">
        <f>SUM(P326:P391)</f>
      </c>
      <c r="R376" s="22">
        <f>SUM(E376:P376)</f>
      </c>
      <c r="X376" s="23">
        <f>R376/$C$3</f>
      </c>
      <c r="Y376" s="23">
        <f>R376/$C$3/12</f>
      </c>
    </row>
    <row r="377" spans="1:25" s="13" customFormat="1" x14ac:dyDescent="0.25">
      <c r="A377" s="14" t="s">
        <v>800</v>
      </c>
      <c r="B377" s="13" t="s">
        <v>801</v>
      </c>
      <c r="E377" s="24">
        <f>E319-E324-E376</f>
      </c>
      <c r="F377" s="24">
        <f>F319-F324-F376</f>
      </c>
      <c r="G377" s="24">
        <f>G319-G324-G376</f>
      </c>
      <c r="H377" s="24">
        <f>H319-H324-H376</f>
      </c>
      <c r="I377" s="24">
        <f>I319-I324-I376</f>
      </c>
      <c r="J377" s="24">
        <f>J319-J324-J376</f>
      </c>
      <c r="K377" s="24">
        <f>K319-K324-K376</f>
      </c>
      <c r="L377" s="24">
        <f>L319-L324-L376</f>
      </c>
      <c r="M377" s="24">
        <f>M319-M324-M376</f>
      </c>
      <c r="N377" s="24">
        <f>N319-N324-N376</f>
      </c>
      <c r="O377" s="24">
        <f>O319-O324-O376</f>
      </c>
      <c r="P377" s="24">
        <f>P319-P324-P376</f>
      </c>
      <c r="R377" s="24">
        <f>SUM(E377:P377)</f>
      </c>
      <c r="X377" s="23">
        <f>R377/$C$3</f>
      </c>
      <c r="Y377" s="23">
        <f>R377/$C$3/12</f>
      </c>
    </row>
    <row r="378" spans="1:2" s="13" customFormat="1" x14ac:dyDescent="0.25">
      <c r="A378" s="14" t="s">
        <v>802</v>
      </c>
      <c r="B378" s="13" t="s">
        <v>803</v>
      </c>
    </row>
    <row r="379" spans="1:25" s="15" customFormat="1" x14ac:dyDescent="0.25">
      <c r="A379" s="14" t="s">
        <v>804</v>
      </c>
      <c r="B379" s="15" t="s">
        <v>805</v>
      </c>
      <c r="D379" s="16" t="s">
        <v>45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R379" s="18">
        <f>SUM(E379:P379)</f>
      </c>
      <c r="U379" s="20">
        <v>527972.26</v>
      </c>
      <c r="X379" s="21">
        <f>R379/$C$3</f>
      </c>
      <c r="Y379" s="21">
        <f>R379/$C$3/12</f>
      </c>
    </row>
    <row r="380" spans="1:25" s="15" customFormat="1" x14ac:dyDescent="0.25">
      <c r="A380" s="14" t="s">
        <v>806</v>
      </c>
      <c r="B380" s="15" t="s">
        <v>807</v>
      </c>
      <c r="D380" s="16" t="s">
        <v>45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R380" s="18">
        <f>SUM(E380:P380)</f>
      </c>
      <c r="X380" s="21">
        <f>R380/$C$3</f>
      </c>
      <c r="Y380" s="21">
        <f>R380/$C$3/12</f>
      </c>
    </row>
    <row r="381" spans="1:25" s="15" customFormat="1" x14ac:dyDescent="0.25">
      <c r="A381" s="14" t="s">
        <v>808</v>
      </c>
      <c r="B381" s="15" t="s">
        <v>809</v>
      </c>
      <c r="D381" s="16" t="s">
        <v>45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R381" s="18">
        <f>SUM(E381:P381)</f>
      </c>
      <c r="X381" s="21">
        <f>R381/$C$3</f>
      </c>
      <c r="Y381" s="21">
        <f>R381/$C$3/12</f>
      </c>
    </row>
    <row r="382" spans="1:25" s="15" customFormat="1" x14ac:dyDescent="0.25">
      <c r="A382" s="14" t="s">
        <v>810</v>
      </c>
      <c r="B382" s="15" t="s">
        <v>811</v>
      </c>
      <c r="D382" s="16" t="s">
        <v>45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R382" s="18">
        <f>SUM(E382:P382)</f>
      </c>
      <c r="U382" s="20">
        <v>14099.63</v>
      </c>
      <c r="X382" s="21">
        <f>R382/$C$3</f>
      </c>
      <c r="Y382" s="21">
        <f>R382/$C$3/12</f>
      </c>
    </row>
    <row r="383" spans="1:25" s="13" customFormat="1" x14ac:dyDescent="0.25">
      <c r="A383" s="14" t="s">
        <v>812</v>
      </c>
      <c r="B383" s="13" t="s">
        <v>813</v>
      </c>
      <c r="E383" s="22">
        <f>SUM(E379:E382)</f>
      </c>
      <c r="F383" s="22">
        <f>SUM(F379:F382)</f>
      </c>
      <c r="G383" s="22">
        <f>SUM(G379:G382)</f>
      </c>
      <c r="H383" s="22">
        <f>SUM(H379:H382)</f>
      </c>
      <c r="I383" s="22">
        <f>SUM(I379:I382)</f>
      </c>
      <c r="J383" s="22">
        <f>SUM(J379:J382)</f>
      </c>
      <c r="K383" s="22">
        <f>SUM(K379:K382)</f>
      </c>
      <c r="L383" s="22">
        <f>SUM(L379:L382)</f>
      </c>
      <c r="M383" s="22">
        <f>SUM(M379:M382)</f>
      </c>
      <c r="N383" s="22">
        <f>SUM(N379:N382)</f>
      </c>
      <c r="O383" s="22">
        <f>SUM(O379:O382)</f>
      </c>
      <c r="P383" s="22">
        <f>SUM(P379:P382)</f>
      </c>
      <c r="R383" s="22">
        <f>SUM(E383:P383)</f>
      </c>
      <c r="X383" s="23">
        <f>R383/$C$3</f>
      </c>
      <c r="Y383" s="23">
        <f>R383/$C$3/12</f>
      </c>
    </row>
    <row r="384" spans="1:2" s="13" customFormat="1" x14ac:dyDescent="0.25">
      <c r="A384" s="14" t="s">
        <v>814</v>
      </c>
      <c r="B384" s="13" t="s">
        <v>815</v>
      </c>
    </row>
    <row r="385" spans="1:25" s="15" customFormat="1" x14ac:dyDescent="0.25">
      <c r="A385" s="14" t="s">
        <v>816</v>
      </c>
      <c r="B385" s="15" t="s">
        <v>817</v>
      </c>
      <c r="D385" s="16" t="s">
        <v>45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R385" s="18">
        <f>SUM(E385:P385)</f>
      </c>
      <c r="X385" s="21">
        <f>R385/$C$3</f>
      </c>
      <c r="Y385" s="21">
        <f>R385/$C$3/12</f>
      </c>
    </row>
    <row r="386" spans="1:25" s="13" customFormat="1" x14ac:dyDescent="0.25">
      <c r="A386" s="14" t="s">
        <v>818</v>
      </c>
      <c r="B386" s="13" t="s">
        <v>819</v>
      </c>
      <c r="E386" s="22">
        <f>SUM(E385:E385)</f>
      </c>
      <c r="F386" s="22">
        <f>SUM(F385:F385)</f>
      </c>
      <c r="G386" s="22">
        <f>SUM(G385:G385)</f>
      </c>
      <c r="H386" s="22">
        <f>SUM(H385:H385)</f>
      </c>
      <c r="I386" s="22">
        <f>SUM(I385:I385)</f>
      </c>
      <c r="J386" s="22">
        <f>SUM(J385:J385)</f>
      </c>
      <c r="K386" s="22">
        <f>SUM(K385:K385)</f>
      </c>
      <c r="L386" s="22">
        <f>SUM(L385:L385)</f>
      </c>
      <c r="M386" s="22">
        <f>SUM(M385:M385)</f>
      </c>
      <c r="N386" s="22">
        <f>SUM(N385:N385)</f>
      </c>
      <c r="O386" s="22">
        <f>SUM(O385:O385)</f>
      </c>
      <c r="P386" s="22">
        <f>SUM(P385:P385)</f>
      </c>
      <c r="R386" s="22">
        <f>SUM(E386:P386)</f>
      </c>
      <c r="X386" s="23">
        <f>R386/$C$3</f>
      </c>
      <c r="Y386" s="23">
        <f>R386/$C$3/12</f>
      </c>
    </row>
    <row r="387" spans="1:25" s="13" customFormat="1" x14ac:dyDescent="0.25">
      <c r="A387" s="14" t="s">
        <v>820</v>
      </c>
      <c r="B387" s="13" t="s">
        <v>821</v>
      </c>
      <c r="E387" s="24">
        <f>E377-E383-E386</f>
      </c>
      <c r="F387" s="24">
        <f>F377-F383-F386</f>
      </c>
      <c r="G387" s="24">
        <f>G377-G383-G386</f>
      </c>
      <c r="H387" s="24">
        <f>H377-H383-H386</f>
      </c>
      <c r="I387" s="24">
        <f>I377-I383-I386</f>
      </c>
      <c r="J387" s="24">
        <f>J377-J383-J386</f>
      </c>
      <c r="K387" s="24">
        <f>K377-K383-K386</f>
      </c>
      <c r="L387" s="24">
        <f>L377-L383-L386</f>
      </c>
      <c r="M387" s="24">
        <f>M377-M383-M386</f>
      </c>
      <c r="N387" s="24">
        <f>N377-N383-N386</f>
      </c>
      <c r="O387" s="24">
        <f>O377-O383-O386</f>
      </c>
      <c r="P387" s="24">
        <f>P377-P383-P386</f>
      </c>
      <c r="R387" s="24">
        <f>SUM(E387:P387)</f>
      </c>
      <c r="X387" s="23">
        <f>R387/$C$3</f>
      </c>
      <c r="Y387" s="23">
        <f>R387/$C$3/12</f>
      </c>
    </row>
    <row r="388" spans="1:25" s="15" customFormat="1" x14ac:dyDescent="0.25">
      <c r="A388" s="14" t="s">
        <v>822</v>
      </c>
      <c r="B388" s="15" t="s">
        <v>823</v>
      </c>
      <c r="D388" s="16" t="s">
        <v>45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R388" s="18">
        <f>SUM(E388:P388)</f>
      </c>
      <c r="U388" s="20">
        <v>-68275.18</v>
      </c>
      <c r="X388" s="21">
        <f>R388/$C$3</f>
      </c>
      <c r="Y388" s="21">
        <f>R388/$C$3/12</f>
      </c>
    </row>
    <row r="389" spans="1:25" s="15" customFormat="1" x14ac:dyDescent="0.25">
      <c r="A389" s="14" t="s">
        <v>824</v>
      </c>
      <c r="B389" s="15" t="s">
        <v>825</v>
      </c>
      <c r="D389" s="16" t="s">
        <v>45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R389" s="18">
        <f>SUM(E389:P389)</f>
      </c>
      <c r="X389" s="21">
        <f>R389/$C$3</f>
      </c>
      <c r="Y389" s="21">
        <f>R389/$C$3/12</f>
      </c>
    </row>
    <row r="390" spans="1:25" s="15" customFormat="1" x14ac:dyDescent="0.25">
      <c r="A390" s="14" t="s">
        <v>826</v>
      </c>
      <c r="B390" s="15" t="s">
        <v>827</v>
      </c>
      <c r="D390" s="16" t="s">
        <v>45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R390" s="18">
        <f>SUM(E390:P390)</f>
      </c>
      <c r="X390" s="21">
        <f>R390/$C$3</f>
      </c>
      <c r="Y390" s="21">
        <f>R390/$C$3/12</f>
      </c>
    </row>
    <row r="391" spans="1:25" s="15" customFormat="1" x14ac:dyDescent="0.25">
      <c r="A391" s="14" t="s">
        <v>828</v>
      </c>
      <c r="B391" s="15" t="s">
        <v>829</v>
      </c>
      <c r="D391" s="16" t="s">
        <v>45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R391" s="18">
        <f>SUM(E391:P391)</f>
      </c>
      <c r="X391" s="21">
        <f>R391/$C$3</f>
      </c>
      <c r="Y391" s="21">
        <f>R391/$C$3/12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4" customWidth="1"/>
    <col min="3" max="3" width="2" customWidth="1"/>
    <col min="4" max="5" width="15" customWidth="1"/>
    <col min="6" max="6" width="13" customWidth="1"/>
    <col min="7" max="7" width="11" customWidth="1"/>
    <col min="8" max="8" width="13" customWidth="1"/>
  </cols>
  <sheetData>
    <row r="1" spans="2:2" x14ac:dyDescent="0.25">
      <c r="B1" s="1" t="s">
        <v>830</v>
      </c>
    </row>
    <row r="2" spans="7:8" x14ac:dyDescent="0.25">
      <c r="G2" s="13" t="s">
        <v>831</v>
      </c>
      <c r="H2" s="25">
        <v>163</v>
      </c>
    </row>
    <row r="4" spans="2:8" x14ac:dyDescent="0.25">
      <c r="B4" s="26" t="s">
        <v>832</v>
      </c>
      <c r="D4" s="27" t="s">
        <v>29</v>
      </c>
      <c r="E4" s="27" t="s">
        <v>833</v>
      </c>
      <c r="F4" s="27" t="s">
        <v>834</v>
      </c>
      <c r="G4" s="27" t="s">
        <v>835</v>
      </c>
      <c r="H4" s="27" t="s">
        <v>32</v>
      </c>
    </row>
    <row r="5" spans="1:8" x14ac:dyDescent="0.25">
      <c r="A5" s="14" t="s">
        <v>97</v>
      </c>
      <c r="B5" s="28" t="s">
        <v>836</v>
      </c>
      <c r="D5" s="29">
        <v>2961565.49</v>
      </c>
      <c r="E5" s="29">
        <f>Budget!R36</f>
      </c>
      <c r="F5" s="29">
        <f>E5-D5</f>
      </c>
      <c r="G5" s="30">
        <f>E5/$H$2</f>
      </c>
      <c r="H5" s="30">
        <f>E5/$H$2/12</f>
      </c>
    </row>
    <row r="6" spans="1:8" x14ac:dyDescent="0.25">
      <c r="A6" s="14" t="s">
        <v>215</v>
      </c>
      <c r="B6" s="28" t="s">
        <v>837</v>
      </c>
      <c r="D6" s="29">
        <v>354851.53</v>
      </c>
      <c r="E6" s="29">
        <f>Budget!R94</f>
      </c>
      <c r="F6" s="29">
        <f>E6-D6</f>
      </c>
      <c r="G6" s="30">
        <f>E6/$H$2</f>
      </c>
      <c r="H6" s="30">
        <f>E6/$H$2/12</f>
      </c>
    </row>
    <row r="7" spans="1:8" x14ac:dyDescent="0.25">
      <c r="A7" s="31" t="s">
        <v>217</v>
      </c>
      <c r="B7" s="32" t="s">
        <v>838</v>
      </c>
      <c r="C7" s="33"/>
      <c r="D7" s="34">
        <v>3316417.0261576124</v>
      </c>
      <c r="E7" s="34">
        <f>Budget!R95</f>
      </c>
      <c r="F7" s="34">
        <f>E7-D7</f>
      </c>
      <c r="G7" s="35">
        <f>E7/$H$2</f>
      </c>
      <c r="H7" s="35">
        <f>E7/$H$2/12</f>
      </c>
    </row>
    <row r="8" spans="1:8" x14ac:dyDescent="0.25">
      <c r="A8" s="14" t="s">
        <v>253</v>
      </c>
      <c r="B8" s="28" t="s">
        <v>839</v>
      </c>
      <c r="D8" s="29">
        <v>56633.7</v>
      </c>
      <c r="E8" s="29">
        <f>Budget!R111</f>
      </c>
      <c r="F8" s="29">
        <f>E8-D8</f>
      </c>
      <c r="G8" s="30">
        <f>E8/$H$2</f>
      </c>
      <c r="H8" s="30">
        <f>E8/$H$2/12</f>
      </c>
    </row>
    <row r="9" spans="1:8" x14ac:dyDescent="0.25">
      <c r="A9" s="14" t="s">
        <v>341</v>
      </c>
      <c r="B9" s="28" t="s">
        <v>840</v>
      </c>
      <c r="D9" s="29">
        <v>4491.3</v>
      </c>
      <c r="E9" s="29">
        <f>Budget!R155</f>
      </c>
      <c r="F9" s="29">
        <f>E9-D9</f>
      </c>
      <c r="G9" s="30">
        <f>E9/$H$2</f>
      </c>
      <c r="H9" s="30">
        <f>E9/$H$2/12</f>
      </c>
    </row>
    <row r="10" spans="1:8" x14ac:dyDescent="0.25">
      <c r="A10" s="14" t="s">
        <v>361</v>
      </c>
      <c r="B10" s="28" t="s">
        <v>841</v>
      </c>
      <c r="D10" s="29">
        <v>0</v>
      </c>
      <c r="E10" s="29">
        <f>Budget!R165</f>
      </c>
      <c r="F10" s="29">
        <f>E10-D10</f>
      </c>
      <c r="G10" s="30">
        <f>E10/$H$2</f>
      </c>
      <c r="H10" s="30">
        <f>E10/$H$2/12</f>
      </c>
    </row>
    <row r="11" spans="1:8" x14ac:dyDescent="0.25">
      <c r="A11" s="14" t="s">
        <v>412</v>
      </c>
      <c r="B11" s="28" t="s">
        <v>842</v>
      </c>
      <c r="D11" s="29">
        <v>321925</v>
      </c>
      <c r="E11" s="29">
        <f>Budget!R185</f>
      </c>
      <c r="F11" s="29">
        <f>E11-D11</f>
      </c>
      <c r="G11" s="30">
        <f>E11/$H$2</f>
      </c>
      <c r="H11" s="30">
        <f>E11/$H$2/12</f>
      </c>
    </row>
    <row r="12" spans="1:8" x14ac:dyDescent="0.25">
      <c r="A12" s="14" t="s">
        <v>455</v>
      </c>
      <c r="B12" s="28" t="s">
        <v>843</v>
      </c>
      <c r="D12" s="29">
        <v>26895</v>
      </c>
      <c r="E12" s="29">
        <f>Budget!R206</f>
      </c>
      <c r="F12" s="29">
        <f>E12-D12</f>
      </c>
      <c r="G12" s="30">
        <f>E12/$H$2</f>
      </c>
      <c r="H12" s="30">
        <f>E12/$H$2/12</f>
      </c>
    </row>
    <row r="13" spans="1:8" x14ac:dyDescent="0.25">
      <c r="A13" s="14" t="s">
        <v>506</v>
      </c>
      <c r="B13" s="28" t="s">
        <v>844</v>
      </c>
      <c r="D13" s="29">
        <v>188508.5606</v>
      </c>
      <c r="E13" s="29">
        <f>Budget!R231</f>
      </c>
      <c r="F13" s="29">
        <f>E13-D13</f>
      </c>
      <c r="G13" s="30">
        <f>E13/$H$2</f>
      </c>
      <c r="H13" s="30">
        <f>E13/$H$2/12</f>
      </c>
    </row>
    <row r="14" spans="1:8" x14ac:dyDescent="0.25">
      <c r="A14" s="14" t="s">
        <v>555</v>
      </c>
      <c r="B14" s="28" t="s">
        <v>845</v>
      </c>
      <c r="D14" s="29">
        <v>36713.51</v>
      </c>
      <c r="E14" s="29">
        <f>Budget!R255</f>
      </c>
      <c r="F14" s="29">
        <f>E14-D14</f>
      </c>
      <c r="G14" s="30">
        <f>E14/$H$2</f>
      </c>
      <c r="H14" s="30">
        <f>E14/$H$2/12</f>
      </c>
    </row>
    <row r="15" spans="1:8" x14ac:dyDescent="0.25">
      <c r="A15" s="14" t="s">
        <v>585</v>
      </c>
      <c r="B15" s="28" t="s">
        <v>846</v>
      </c>
      <c r="D15" s="29">
        <v>4627.82</v>
      </c>
      <c r="E15" s="29">
        <f>Budget!R270</f>
      </c>
      <c r="F15" s="29">
        <f>E15-D15</f>
      </c>
      <c r="G15" s="30">
        <f>E15/$H$2</f>
      </c>
      <c r="H15" s="30">
        <f>E15/$H$2/12</f>
      </c>
    </row>
    <row r="16" spans="1:8" x14ac:dyDescent="0.25">
      <c r="A16" s="14" t="s">
        <v>639</v>
      </c>
      <c r="B16" s="28" t="s">
        <v>847</v>
      </c>
      <c r="D16" s="29">
        <v>137958.68</v>
      </c>
      <c r="E16" s="29">
        <f>Budget!R297</f>
      </c>
      <c r="F16" s="29">
        <f>E16-D16</f>
      </c>
      <c r="G16" s="30">
        <f>E16/$H$2</f>
      </c>
      <c r="H16" s="30">
        <f>E16/$H$2/12</f>
      </c>
    </row>
    <row r="17" spans="1:8" x14ac:dyDescent="0.25">
      <c r="A17" s="14" t="s">
        <v>676</v>
      </c>
      <c r="B17" s="28" t="s">
        <v>848</v>
      </c>
      <c r="D17" s="29">
        <v>57050</v>
      </c>
      <c r="E17" s="29">
        <f>Budget!R315</f>
      </c>
      <c r="F17" s="29">
        <f>E17-D17</f>
      </c>
      <c r="G17" s="30">
        <f>E17/$H$2</f>
      </c>
      <c r="H17" s="30">
        <f>E17/$H$2/12</f>
      </c>
    </row>
    <row r="18" spans="1:8" x14ac:dyDescent="0.25">
      <c r="A18" s="31" t="s">
        <v>680</v>
      </c>
      <c r="B18" s="32" t="s">
        <v>849</v>
      </c>
      <c r="C18" s="33"/>
      <c r="D18" s="34">
        <v>1298476.0713847284</v>
      </c>
      <c r="E18" s="34">
        <f>Budget!R317</f>
      </c>
      <c r="F18" s="34">
        <f>E18-D18</f>
      </c>
      <c r="G18" s="35">
        <f>E18/$H$2</f>
      </c>
      <c r="H18" s="35">
        <f>E18/$H$2/12</f>
      </c>
    </row>
    <row r="19" spans="1:8" x14ac:dyDescent="0.25">
      <c r="A19" s="31" t="s">
        <v>684</v>
      </c>
      <c r="B19" s="32" t="s">
        <v>850</v>
      </c>
      <c r="C19" s="33"/>
      <c r="D19" s="34">
        <v>2017940.954772884</v>
      </c>
      <c r="E19" s="34">
        <f>Budget!R319</f>
      </c>
      <c r="F19" s="34">
        <f>E19-D19</f>
      </c>
      <c r="G19" s="35">
        <f>E19/$H$2</f>
      </c>
      <c r="H19" s="35">
        <f>E19/$H$2/12</f>
      </c>
    </row>
    <row r="21" spans="2:5" x14ac:dyDescent="0.25">
      <c r="B21" s="28" t="s">
        <v>851</v>
      </c>
      <c r="E21" s="29">
        <f>Budget!R324</f>
      </c>
    </row>
    <row r="22" spans="2:5" x14ac:dyDescent="0.25">
      <c r="B22" s="28" t="s">
        <v>852</v>
      </c>
      <c r="E22" s="29">
        <f>ABS(Budget!R388+Budget!R389+Budget!R390)</f>
      </c>
    </row>
    <row r="23" spans="2:5" x14ac:dyDescent="0.25">
      <c r="B23" s="28" t="s">
        <v>853</v>
      </c>
      <c r="E23" s="29">
        <f>Budget!R376</f>
      </c>
    </row>
    <row r="24" spans="2:5" x14ac:dyDescent="0.25">
      <c r="B24" s="28" t="s">
        <v>854</v>
      </c>
      <c r="E24" s="36">
        <f>E19-E21-E22</f>
      </c>
    </row>
    <row r="26" spans="2:4" x14ac:dyDescent="0.25">
      <c r="B26" s="28" t="s">
        <v>855</v>
      </c>
      <c r="D26" s="37">
        <v>0</v>
      </c>
    </row>
    <row r="27" spans="2:5" x14ac:dyDescent="0.25">
      <c r="B27" s="38" t="s">
        <v>856</v>
      </c>
      <c r="E27" s="39">
        <f>IF(D26&gt;0,E24/D26,"")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8"/>
  <sheetFormatPr defaultRowHeight="15" outlineLevelRow="0" outlineLevelCol="0" x14ac:dyDescent="55"/>
  <cols>
    <col min="1" max="1" width="26" customWidth="1"/>
    <col min="2" max="2" width="42" customWidth="1"/>
    <col min="3" max="3" width="12" customWidth="1"/>
    <col min="4" max="4" width="60" customWidth="1"/>
  </cols>
  <sheetData>
    <row r="1" spans="1:1" x14ac:dyDescent="0.25">
      <c r="A1" s="38" t="s">
        <v>857</v>
      </c>
    </row>
    <row r="2" spans="1:2" x14ac:dyDescent="0.25">
      <c r="A2" s="38" t="s">
        <v>858</v>
      </c>
      <c r="B2" s="38" t="s">
        <v>859</v>
      </c>
    </row>
    <row r="3" spans="1:2" x14ac:dyDescent="0.25">
      <c r="A3" s="28" t="s">
        <v>860</v>
      </c>
      <c r="B3" s="28" t="s">
        <v>861</v>
      </c>
    </row>
    <row r="4" spans="1:2" x14ac:dyDescent="0.25">
      <c r="A4" s="28" t="s">
        <v>862</v>
      </c>
      <c r="B4" s="28">
        <v>276505</v>
      </c>
    </row>
    <row r="5" spans="1:2" x14ac:dyDescent="0.25">
      <c r="A5" s="28" t="s">
        <v>863</v>
      </c>
      <c r="B5" s="28">
        <v>0.025</v>
      </c>
    </row>
    <row r="6" spans="1:2" x14ac:dyDescent="0.25">
      <c r="A6" s="28" t="s">
        <v>864</v>
      </c>
      <c r="B6" s="28">
        <v>12</v>
      </c>
    </row>
    <row r="7" spans="1:2" x14ac:dyDescent="0.25">
      <c r="A7" s="28" t="s">
        <v>865</v>
      </c>
      <c r="B7" s="28">
        <v>-26474</v>
      </c>
    </row>
    <row r="8" spans="1:2" x14ac:dyDescent="0.25">
      <c r="A8" s="28" t="s">
        <v>866</v>
      </c>
      <c r="B8" s="28">
        <v>0</v>
      </c>
    </row>
    <row r="9" spans="1:2" x14ac:dyDescent="0.25">
      <c r="A9" s="28" t="s">
        <v>867</v>
      </c>
      <c r="B9" s="28">
        <v>0.06</v>
      </c>
    </row>
    <row r="10" spans="1:2" x14ac:dyDescent="0.25">
      <c r="A10" s="28" t="s">
        <v>868</v>
      </c>
      <c r="B10" s="28">
        <v>2026</v>
      </c>
    </row>
    <row r="11" spans="1:2" x14ac:dyDescent="0.25">
      <c r="A11" s="28" t="s">
        <v>869</v>
      </c>
      <c r="B11" s="28">
        <v>163</v>
      </c>
    </row>
    <row r="12" spans="1:2" x14ac:dyDescent="0.25">
      <c r="A12" s="28" t="s">
        <v>870</v>
      </c>
      <c r="B12" s="28">
        <v>140056.67</v>
      </c>
    </row>
    <row r="13" spans="1:2" x14ac:dyDescent="0.25">
      <c r="A13" s="28" t="s">
        <v>871</v>
      </c>
      <c r="B13" s="28">
        <v>214794.86</v>
      </c>
    </row>
    <row r="14" spans="1:2" x14ac:dyDescent="0.25">
      <c r="A14" s="28" t="s">
        <v>872</v>
      </c>
      <c r="B14" s="28">
        <v>46455</v>
      </c>
    </row>
    <row r="15" spans="1:2" x14ac:dyDescent="0.25">
      <c r="A15" s="28" t="s">
        <v>873</v>
      </c>
      <c r="B15" s="28">
        <v>317725</v>
      </c>
    </row>
    <row r="16" spans="1:2" x14ac:dyDescent="0.25">
      <c r="A16" s="28" t="s">
        <v>874</v>
      </c>
      <c r="B16" s="28">
        <v>61125</v>
      </c>
    </row>
    <row r="17" spans="1:2" x14ac:dyDescent="0.25">
      <c r="A17" s="28" t="s">
        <v>875</v>
      </c>
      <c r="B17" s="28">
        <v>321925</v>
      </c>
    </row>
    <row r="18" spans="1:2" x14ac:dyDescent="0.25">
      <c r="A18" s="28" t="s">
        <v>876</v>
      </c>
      <c r="B18" s="28">
        <v>26895</v>
      </c>
    </row>
    <row r="19" spans="1:2" x14ac:dyDescent="0.25">
      <c r="A19" s="28" t="s">
        <v>877</v>
      </c>
      <c r="B19" s="28">
        <v>188508.56</v>
      </c>
    </row>
    <row r="20" spans="1:2" x14ac:dyDescent="0.25">
      <c r="A20" s="28" t="s">
        <v>878</v>
      </c>
      <c r="B20" s="28">
        <v>179300</v>
      </c>
    </row>
    <row r="21" spans="1:2" x14ac:dyDescent="0.25">
      <c r="A21" s="28" t="s">
        <v>879</v>
      </c>
      <c r="B21" s="28">
        <v>57050</v>
      </c>
    </row>
    <row r="22" spans="1:2" x14ac:dyDescent="0.25">
      <c r="A22" s="28" t="s">
        <v>880</v>
      </c>
      <c r="B22" s="28" t="b">
        <v>1</v>
      </c>
    </row>
    <row r="23" spans="1:2" x14ac:dyDescent="0.25">
      <c r="A23" s="28" t="s">
        <v>881</v>
      </c>
      <c r="B23" s="28">
        <v>0</v>
      </c>
    </row>
    <row r="24" spans="1:2" x14ac:dyDescent="0.25">
      <c r="A24" s="28" t="s">
        <v>882</v>
      </c>
      <c r="B24" s="28">
        <v>0.03</v>
      </c>
    </row>
    <row r="25" spans="1:2" x14ac:dyDescent="0.25">
      <c r="A25" s="28" t="s">
        <v>883</v>
      </c>
      <c r="B25" s="28" t="b">
        <v>1</v>
      </c>
    </row>
    <row r="26" spans="1:2" x14ac:dyDescent="0.25">
      <c r="A26" s="28" t="s">
        <v>884</v>
      </c>
      <c r="B26" s="28">
        <v>9</v>
      </c>
    </row>
    <row r="27" spans="1:2" x14ac:dyDescent="0.25">
      <c r="A27" s="28" t="s">
        <v>885</v>
      </c>
      <c r="B27" s="28" t="s">
        <v>886</v>
      </c>
    </row>
    <row r="28" spans="1:2" x14ac:dyDescent="0.25">
      <c r="A28" s="28" t="s">
        <v>887</v>
      </c>
      <c r="B28" s="28">
        <v>0.005</v>
      </c>
    </row>
    <row r="29" spans="1:2" x14ac:dyDescent="0.25">
      <c r="A29" s="28" t="s">
        <v>888</v>
      </c>
      <c r="B29" s="28">
        <v>0.05</v>
      </c>
    </row>
    <row r="31" spans="1:1" x14ac:dyDescent="0.25">
      <c r="A31" s="38" t="s">
        <v>889</v>
      </c>
    </row>
    <row r="32" spans="1:3" x14ac:dyDescent="0.25">
      <c r="A32" s="38" t="s">
        <v>890</v>
      </c>
      <c r="B32" s="38" t="s">
        <v>891</v>
      </c>
      <c r="C32" s="38" t="s">
        <v>892</v>
      </c>
    </row>
    <row r="33" spans="1:3" x14ac:dyDescent="0.25">
      <c r="A33" s="28" t="s">
        <v>893</v>
      </c>
      <c r="B33" s="28" t="s">
        <v>894</v>
      </c>
      <c r="C33" s="28">
        <v>3219092.9289756655</v>
      </c>
    </row>
    <row r="34" spans="1:3" x14ac:dyDescent="0.25">
      <c r="A34" s="28" t="s">
        <v>895</v>
      </c>
      <c r="B34" s="28" t="s">
        <v>896</v>
      </c>
      <c r="C34" s="28">
        <v>-80477.32322439164</v>
      </c>
    </row>
    <row r="35" spans="1:3" x14ac:dyDescent="0.25">
      <c r="A35" s="28" t="s">
        <v>897</v>
      </c>
      <c r="B35" s="28" t="s">
        <v>898</v>
      </c>
      <c r="C35" s="28">
        <v>-16095.464644878328</v>
      </c>
    </row>
    <row r="36" spans="1:3" x14ac:dyDescent="0.25">
      <c r="A36" s="28" t="s">
        <v>899</v>
      </c>
      <c r="B36" s="28" t="s">
        <v>900</v>
      </c>
      <c r="C36" s="28">
        <v>-160954.6464487833</v>
      </c>
    </row>
    <row r="37" spans="1:3" x14ac:dyDescent="0.25">
      <c r="A37" s="28" t="s">
        <v>901</v>
      </c>
      <c r="B37" s="28" t="s">
        <v>902</v>
      </c>
      <c r="C37" s="28">
        <v>140056.6705</v>
      </c>
    </row>
    <row r="38" spans="1:3" x14ac:dyDescent="0.25">
      <c r="A38" s="28" t="s">
        <v>903</v>
      </c>
      <c r="B38" s="28" t="s">
        <v>904</v>
      </c>
      <c r="C38" s="28">
        <v>214794.86100000003</v>
      </c>
    </row>
    <row r="39" spans="1:3" x14ac:dyDescent="0.25">
      <c r="A39" s="28" t="s">
        <v>905</v>
      </c>
      <c r="B39" s="28" t="s">
        <v>906</v>
      </c>
      <c r="C39" s="28">
        <v>46455</v>
      </c>
    </row>
    <row r="40" spans="1:3" x14ac:dyDescent="0.25">
      <c r="A40" s="28" t="s">
        <v>907</v>
      </c>
      <c r="B40" s="28" t="s">
        <v>908</v>
      </c>
      <c r="C40" s="28">
        <v>99492.51078472837</v>
      </c>
    </row>
    <row r="41" spans="1:3" x14ac:dyDescent="0.25">
      <c r="A41" s="28" t="s">
        <v>909</v>
      </c>
      <c r="B41" s="28" t="s">
        <v>910</v>
      </c>
      <c r="C41" s="28">
        <v>317725</v>
      </c>
    </row>
    <row r="42" spans="1:3" x14ac:dyDescent="0.25">
      <c r="A42" s="28" t="s">
        <v>911</v>
      </c>
      <c r="B42" s="28" t="s">
        <v>912</v>
      </c>
      <c r="C42" s="28">
        <v>61125</v>
      </c>
    </row>
    <row r="43" spans="1:3" x14ac:dyDescent="0.25">
      <c r="A43" s="28" t="s">
        <v>913</v>
      </c>
      <c r="B43" s="28" t="s">
        <v>914</v>
      </c>
      <c r="C43" s="28">
        <v>321925</v>
      </c>
    </row>
    <row r="44" spans="1:3" x14ac:dyDescent="0.25">
      <c r="A44" s="28" t="s">
        <v>915</v>
      </c>
      <c r="B44" s="28" t="s">
        <v>916</v>
      </c>
      <c r="C44" s="28">
        <v>26895</v>
      </c>
    </row>
    <row r="45" spans="1:3" x14ac:dyDescent="0.25">
      <c r="A45" s="28" t="s">
        <v>917</v>
      </c>
      <c r="B45" s="28" t="s">
        <v>918</v>
      </c>
      <c r="C45" s="28">
        <v>188508.5606</v>
      </c>
    </row>
    <row r="46" spans="1:3" x14ac:dyDescent="0.25">
      <c r="A46" s="28" t="s">
        <v>919</v>
      </c>
      <c r="B46" s="28" t="s">
        <v>920</v>
      </c>
      <c r="C46" s="28">
        <v>179300</v>
      </c>
    </row>
    <row r="47" spans="1:3" x14ac:dyDescent="0.25">
      <c r="A47" s="28" t="s">
        <v>921</v>
      </c>
      <c r="B47" s="28" t="s">
        <v>922</v>
      </c>
      <c r="C47" s="28">
        <v>57050</v>
      </c>
    </row>
    <row r="48" spans="1:3" x14ac:dyDescent="0.25">
      <c r="A48" s="28" t="s">
        <v>45</v>
      </c>
      <c r="B48" s="28" t="s">
        <v>923</v>
      </c>
      <c r="C48" s="28">
        <v>3316417.0261576124</v>
      </c>
    </row>
    <row r="49" spans="1:3" x14ac:dyDescent="0.25">
      <c r="A49" s="28" t="s">
        <v>45</v>
      </c>
      <c r="B49" s="28" t="s">
        <v>924</v>
      </c>
      <c r="C49" s="28">
        <v>1298476.0713847284</v>
      </c>
    </row>
    <row r="50" spans="1:3" x14ac:dyDescent="0.25">
      <c r="A50" s="28" t="s">
        <v>45</v>
      </c>
      <c r="B50" s="28" t="s">
        <v>925</v>
      </c>
      <c r="C50" s="28">
        <v>2017940.954772884</v>
      </c>
    </row>
    <row r="52" spans="1:1" x14ac:dyDescent="0.25">
      <c r="A52" s="38" t="s">
        <v>926</v>
      </c>
    </row>
    <row r="53" spans="1:4" x14ac:dyDescent="0.25">
      <c r="A53" s="38" t="s">
        <v>927</v>
      </c>
      <c r="B53" s="38" t="s">
        <v>928</v>
      </c>
      <c r="C53" s="38" t="s">
        <v>929</v>
      </c>
      <c r="D53" s="38" t="s">
        <v>930</v>
      </c>
    </row>
    <row r="54" spans="1:4" x14ac:dyDescent="0.25">
      <c r="A54" s="28" t="s">
        <v>822</v>
      </c>
      <c r="B54" s="28">
        <v>-298232.69</v>
      </c>
      <c r="C54" s="28">
        <v>-418.87</v>
      </c>
      <c r="D54" s="28">
        <v>-68275.18</v>
      </c>
    </row>
    <row r="55" spans="1:4" x14ac:dyDescent="0.25">
      <c r="A55" s="28" t="s">
        <v>40</v>
      </c>
      <c r="B55" s="28">
        <v>12274765.85</v>
      </c>
      <c r="C55" s="28">
        <v>17239.84</v>
      </c>
      <c r="D55" s="28">
        <v>2810093.87</v>
      </c>
    </row>
    <row r="56" spans="1:4" x14ac:dyDescent="0.25">
      <c r="A56" s="28" t="s">
        <v>46</v>
      </c>
      <c r="B56" s="28">
        <v>116160</v>
      </c>
      <c r="C56" s="28">
        <v>163.15</v>
      </c>
      <c r="D56" s="28">
        <v>26592.81</v>
      </c>
    </row>
    <row r="57" spans="1:4" x14ac:dyDescent="0.25">
      <c r="A57" s="28" t="s">
        <v>48</v>
      </c>
      <c r="B57" s="28">
        <v>-1644628.69</v>
      </c>
      <c r="C57" s="28">
        <v>-2309.87</v>
      </c>
      <c r="D57" s="28">
        <v>-376509.1</v>
      </c>
    </row>
    <row r="58" spans="1:4" x14ac:dyDescent="0.25">
      <c r="A58" s="28" t="s">
        <v>51</v>
      </c>
      <c r="B58" s="28">
        <v>10746297.16</v>
      </c>
      <c r="C58" s="28">
        <v>15093.11</v>
      </c>
      <c r="D58" s="28">
        <v>2460177.58</v>
      </c>
    </row>
    <row r="59" spans="1:4" x14ac:dyDescent="0.25">
      <c r="A59" s="28" t="s">
        <v>57</v>
      </c>
      <c r="B59" s="28">
        <v>-23084.01</v>
      </c>
      <c r="C59" s="28">
        <v>-32.42</v>
      </c>
      <c r="D59" s="28">
        <v>-5284.68</v>
      </c>
    </row>
    <row r="60" spans="1:4" x14ac:dyDescent="0.25">
      <c r="A60" s="28" t="s">
        <v>60</v>
      </c>
      <c r="B60" s="28">
        <v>-5904.72</v>
      </c>
      <c r="C60" s="28">
        <v>-8.29</v>
      </c>
      <c r="D60" s="28">
        <v>-1351.78</v>
      </c>
    </row>
    <row r="61" spans="1:4" x14ac:dyDescent="0.25">
      <c r="A61" s="28" t="s">
        <v>62</v>
      </c>
      <c r="B61" s="28">
        <v>-1836.96</v>
      </c>
      <c r="C61" s="28">
        <v>-2.58</v>
      </c>
      <c r="D61" s="28">
        <v>-420.54</v>
      </c>
    </row>
    <row r="62" spans="1:4" x14ac:dyDescent="0.25">
      <c r="A62" s="28" t="s">
        <v>68</v>
      </c>
      <c r="B62" s="28">
        <v>-5600</v>
      </c>
      <c r="C62" s="28">
        <v>-7.87</v>
      </c>
      <c r="D62" s="28">
        <v>-1282.02</v>
      </c>
    </row>
    <row r="63" spans="1:4" x14ac:dyDescent="0.25">
      <c r="A63" s="28" t="s">
        <v>70</v>
      </c>
      <c r="B63" s="28">
        <v>-6000</v>
      </c>
      <c r="C63" s="28">
        <v>-8.43</v>
      </c>
      <c r="D63" s="28">
        <v>-1373.6</v>
      </c>
    </row>
    <row r="64" spans="1:4" x14ac:dyDescent="0.25">
      <c r="A64" s="28" t="s">
        <v>76</v>
      </c>
      <c r="B64" s="28">
        <v>-42425.69</v>
      </c>
      <c r="C64" s="28">
        <v>-59.59</v>
      </c>
      <c r="D64" s="28">
        <v>-9712.62</v>
      </c>
    </row>
    <row r="65" spans="1:4" x14ac:dyDescent="0.25">
      <c r="A65" s="28" t="s">
        <v>80</v>
      </c>
      <c r="B65" s="28">
        <v>-341179.27</v>
      </c>
      <c r="C65" s="28">
        <v>-479.18</v>
      </c>
      <c r="D65" s="28">
        <v>-78107.05</v>
      </c>
    </row>
    <row r="66" spans="1:4" x14ac:dyDescent="0.25">
      <c r="A66" s="28" t="s">
        <v>85</v>
      </c>
      <c r="B66" s="28">
        <v>-13200</v>
      </c>
      <c r="C66" s="28">
        <v>-18.54</v>
      </c>
      <c r="D66" s="28">
        <v>-3021.91</v>
      </c>
    </row>
    <row r="67" spans="1:4" x14ac:dyDescent="0.25">
      <c r="A67" s="28" t="s">
        <v>89</v>
      </c>
      <c r="B67" s="28">
        <v>-27494.42</v>
      </c>
      <c r="C67" s="28">
        <v>-38.62</v>
      </c>
      <c r="D67" s="28">
        <v>-6294.37</v>
      </c>
    </row>
    <row r="68" spans="1:4" x14ac:dyDescent="0.25">
      <c r="A68" s="28" t="s">
        <v>91</v>
      </c>
      <c r="B68" s="28">
        <v>20033.52</v>
      </c>
      <c r="C68" s="28">
        <v>28.14</v>
      </c>
      <c r="D68" s="28">
        <v>4586.33</v>
      </c>
    </row>
    <row r="69" spans="1:4" x14ac:dyDescent="0.25">
      <c r="A69" s="28" t="s">
        <v>95</v>
      </c>
      <c r="B69" s="28">
        <v>-361840.17</v>
      </c>
      <c r="C69" s="28">
        <v>-508.2</v>
      </c>
      <c r="D69" s="28">
        <v>-82837.01</v>
      </c>
    </row>
    <row r="70" spans="1:4" x14ac:dyDescent="0.25">
      <c r="A70" s="28" t="s">
        <v>97</v>
      </c>
      <c r="B70" s="28">
        <v>10342031.3</v>
      </c>
      <c r="C70" s="28">
        <v>14525.32</v>
      </c>
      <c r="D70" s="28">
        <v>2367627.95</v>
      </c>
    </row>
    <row r="71" spans="1:4" x14ac:dyDescent="0.25">
      <c r="A71" s="28" t="s">
        <v>105</v>
      </c>
      <c r="B71" s="28">
        <v>33580</v>
      </c>
      <c r="C71" s="28">
        <v>47.16</v>
      </c>
      <c r="D71" s="28">
        <v>7687.56</v>
      </c>
    </row>
    <row r="72" spans="1:4" x14ac:dyDescent="0.25">
      <c r="A72" s="28" t="s">
        <v>108</v>
      </c>
      <c r="B72" s="28">
        <v>22230</v>
      </c>
      <c r="C72" s="28">
        <v>31.22</v>
      </c>
      <c r="D72" s="28">
        <v>5089.17</v>
      </c>
    </row>
    <row r="73" spans="1:4" x14ac:dyDescent="0.25">
      <c r="A73" s="28" t="s">
        <v>112</v>
      </c>
      <c r="B73" s="28">
        <v>13540</v>
      </c>
      <c r="C73" s="28">
        <v>19.02</v>
      </c>
      <c r="D73" s="28">
        <v>3099.75</v>
      </c>
    </row>
    <row r="74" spans="1:4" x14ac:dyDescent="0.25">
      <c r="A74" s="28" t="s">
        <v>116</v>
      </c>
      <c r="B74" s="28">
        <v>70860</v>
      </c>
      <c r="C74" s="28">
        <v>99.52</v>
      </c>
      <c r="D74" s="28">
        <v>16222.16</v>
      </c>
    </row>
    <row r="75" spans="1:4" x14ac:dyDescent="0.25">
      <c r="A75" s="28" t="s">
        <v>118</v>
      </c>
      <c r="B75" s="28">
        <v>1068118.27</v>
      </c>
      <c r="C75" s="28">
        <v>1500.17</v>
      </c>
      <c r="D75" s="28">
        <v>244527.08</v>
      </c>
    </row>
    <row r="76" spans="1:4" x14ac:dyDescent="0.25">
      <c r="A76" s="28" t="s">
        <v>132</v>
      </c>
      <c r="B76" s="28">
        <v>26810</v>
      </c>
      <c r="C76" s="28">
        <v>37.65</v>
      </c>
      <c r="D76" s="28">
        <v>6137.68</v>
      </c>
    </row>
    <row r="77" spans="1:4" x14ac:dyDescent="0.25">
      <c r="A77" s="28" t="s">
        <v>134</v>
      </c>
      <c r="B77" s="28">
        <v>15600</v>
      </c>
      <c r="C77" s="28">
        <v>21.91</v>
      </c>
      <c r="D77" s="28">
        <v>3571.35</v>
      </c>
    </row>
    <row r="78" spans="1:4" x14ac:dyDescent="0.25">
      <c r="A78" s="28" t="s">
        <v>140</v>
      </c>
      <c r="B78" s="28">
        <v>6540</v>
      </c>
      <c r="C78" s="28">
        <v>9.19</v>
      </c>
      <c r="D78" s="28">
        <v>1497.22</v>
      </c>
    </row>
    <row r="79" spans="1:4" x14ac:dyDescent="0.25">
      <c r="A79" s="28" t="s">
        <v>144</v>
      </c>
      <c r="B79" s="28">
        <v>9360</v>
      </c>
      <c r="C79" s="28">
        <v>13.15</v>
      </c>
      <c r="D79" s="28">
        <v>2142.81</v>
      </c>
    </row>
    <row r="80" spans="1:4" x14ac:dyDescent="0.25">
      <c r="A80" s="28" t="s">
        <v>146</v>
      </c>
      <c r="B80" s="28">
        <v>79373.25</v>
      </c>
      <c r="C80" s="28">
        <v>111.48</v>
      </c>
      <c r="D80" s="28">
        <v>18171.12</v>
      </c>
    </row>
    <row r="81" spans="1:4" x14ac:dyDescent="0.25">
      <c r="A81" s="28" t="s">
        <v>148</v>
      </c>
      <c r="B81" s="28">
        <v>3300</v>
      </c>
      <c r="C81" s="28">
        <v>4.63</v>
      </c>
      <c r="D81" s="28">
        <v>755.48</v>
      </c>
    </row>
    <row r="82" spans="1:4" x14ac:dyDescent="0.25">
      <c r="A82" s="28" t="s">
        <v>154</v>
      </c>
      <c r="B82" s="28">
        <v>24950</v>
      </c>
      <c r="C82" s="28">
        <v>35.04</v>
      </c>
      <c r="D82" s="28">
        <v>5711.87</v>
      </c>
    </row>
    <row r="83" spans="1:4" x14ac:dyDescent="0.25">
      <c r="A83" s="28" t="s">
        <v>156</v>
      </c>
      <c r="B83" s="28">
        <v>5184</v>
      </c>
      <c r="C83" s="28">
        <v>7.28</v>
      </c>
      <c r="D83" s="28">
        <v>1186.79</v>
      </c>
    </row>
    <row r="84" spans="1:4" x14ac:dyDescent="0.25">
      <c r="A84" s="28" t="s">
        <v>158</v>
      </c>
      <c r="B84" s="28">
        <v>127210</v>
      </c>
      <c r="C84" s="28">
        <v>178.67</v>
      </c>
      <c r="D84" s="28">
        <v>29122.51</v>
      </c>
    </row>
    <row r="85" spans="1:4" x14ac:dyDescent="0.25">
      <c r="A85" s="28" t="s">
        <v>160</v>
      </c>
      <c r="B85" s="28">
        <v>2930.04</v>
      </c>
      <c r="C85" s="28">
        <v>4.12</v>
      </c>
      <c r="D85" s="28">
        <v>670.78</v>
      </c>
    </row>
    <row r="86" spans="1:4" x14ac:dyDescent="0.25">
      <c r="A86" s="28" t="s">
        <v>164</v>
      </c>
      <c r="B86" s="28">
        <v>34337.5</v>
      </c>
      <c r="C86" s="28">
        <v>48.23</v>
      </c>
      <c r="D86" s="28">
        <v>7860.97</v>
      </c>
    </row>
    <row r="87" spans="1:4" x14ac:dyDescent="0.25">
      <c r="A87" s="28" t="s">
        <v>166</v>
      </c>
      <c r="B87" s="28">
        <v>41210</v>
      </c>
      <c r="C87" s="28">
        <v>57.88</v>
      </c>
      <c r="D87" s="28">
        <v>9434.31</v>
      </c>
    </row>
    <row r="88" spans="1:4" x14ac:dyDescent="0.25">
      <c r="A88" s="28" t="s">
        <v>170</v>
      </c>
      <c r="B88" s="28">
        <v>64690</v>
      </c>
      <c r="C88" s="28">
        <v>90.86</v>
      </c>
      <c r="D88" s="28">
        <v>14809.65</v>
      </c>
    </row>
    <row r="89" spans="1:4" x14ac:dyDescent="0.25">
      <c r="A89" s="28" t="s">
        <v>180</v>
      </c>
      <c r="B89" s="28">
        <v>129270</v>
      </c>
      <c r="C89" s="28">
        <v>181.56</v>
      </c>
      <c r="D89" s="28">
        <v>29594.12</v>
      </c>
    </row>
    <row r="90" spans="1:4" x14ac:dyDescent="0.25">
      <c r="A90" s="28" t="s">
        <v>182</v>
      </c>
      <c r="B90" s="28">
        <v>28800</v>
      </c>
      <c r="C90" s="28">
        <v>40.45</v>
      </c>
      <c r="D90" s="28">
        <v>6593.26</v>
      </c>
    </row>
    <row r="91" spans="1:4" x14ac:dyDescent="0.25">
      <c r="A91" s="28" t="s">
        <v>184</v>
      </c>
      <c r="B91" s="28">
        <v>161490</v>
      </c>
      <c r="C91" s="28">
        <v>226.81</v>
      </c>
      <c r="D91" s="28">
        <v>36970.32</v>
      </c>
    </row>
    <row r="92" spans="1:4" x14ac:dyDescent="0.25">
      <c r="A92" s="28" t="s">
        <v>187</v>
      </c>
      <c r="B92" s="28">
        <v>960</v>
      </c>
      <c r="C92" s="28">
        <v>1.35</v>
      </c>
      <c r="D92" s="28">
        <v>219.78</v>
      </c>
    </row>
    <row r="93" spans="1:4" x14ac:dyDescent="0.25">
      <c r="A93" s="28" t="s">
        <v>189</v>
      </c>
      <c r="B93" s="28">
        <v>104275</v>
      </c>
      <c r="C93" s="28">
        <v>146.45</v>
      </c>
      <c r="D93" s="28">
        <v>23871.95</v>
      </c>
    </row>
    <row r="94" spans="1:4" x14ac:dyDescent="0.25">
      <c r="A94" s="28" t="s">
        <v>191</v>
      </c>
      <c r="B94" s="28">
        <v>59220</v>
      </c>
      <c r="C94" s="28">
        <v>83.17</v>
      </c>
      <c r="D94" s="28">
        <v>13557.39</v>
      </c>
    </row>
    <row r="95" spans="1:4" x14ac:dyDescent="0.25">
      <c r="A95" s="28" t="s">
        <v>193</v>
      </c>
      <c r="B95" s="28">
        <v>101895</v>
      </c>
      <c r="C95" s="28">
        <v>143.11</v>
      </c>
      <c r="D95" s="28">
        <v>23327.09</v>
      </c>
    </row>
    <row r="96" spans="1:4" x14ac:dyDescent="0.25">
      <c r="A96" s="28" t="s">
        <v>195</v>
      </c>
      <c r="B96" s="28">
        <v>2040</v>
      </c>
      <c r="C96" s="28">
        <v>2.87</v>
      </c>
      <c r="D96" s="28">
        <v>467.02</v>
      </c>
    </row>
    <row r="97" spans="1:4" x14ac:dyDescent="0.25">
      <c r="A97" s="28" t="s">
        <v>197</v>
      </c>
      <c r="B97" s="28">
        <v>149430</v>
      </c>
      <c r="C97" s="28">
        <v>209.87</v>
      </c>
      <c r="D97" s="28">
        <v>34209.4</v>
      </c>
    </row>
    <row r="98" spans="1:4" x14ac:dyDescent="0.25">
      <c r="A98" s="28" t="s">
        <v>201</v>
      </c>
      <c r="B98" s="28">
        <v>5297.64</v>
      </c>
      <c r="C98" s="28">
        <v>7.44</v>
      </c>
      <c r="D98" s="28">
        <v>1212.8</v>
      </c>
    </row>
    <row r="99" spans="1:4" x14ac:dyDescent="0.25">
      <c r="A99" s="28" t="s">
        <v>203</v>
      </c>
      <c r="B99" s="28">
        <v>45982.68</v>
      </c>
      <c r="C99" s="28">
        <v>64.58</v>
      </c>
      <c r="D99" s="28">
        <v>10526.93</v>
      </c>
    </row>
    <row r="100" spans="1:4" x14ac:dyDescent="0.25">
      <c r="A100" s="28" t="s">
        <v>207</v>
      </c>
      <c r="B100" s="28">
        <v>233850</v>
      </c>
      <c r="C100" s="28">
        <v>328.44</v>
      </c>
      <c r="D100" s="28">
        <v>53535.88</v>
      </c>
    </row>
    <row r="101" spans="1:4" x14ac:dyDescent="0.25">
      <c r="A101" s="28" t="s">
        <v>211</v>
      </c>
      <c r="B101" s="28">
        <v>109603.01</v>
      </c>
      <c r="C101" s="28">
        <v>153.94</v>
      </c>
      <c r="D101" s="28">
        <v>25091.7</v>
      </c>
    </row>
    <row r="102" spans="1:4" x14ac:dyDescent="0.25">
      <c r="A102" s="28" t="s">
        <v>215</v>
      </c>
      <c r="B102" s="28">
        <v>2781936.39</v>
      </c>
      <c r="C102" s="28">
        <v>3907.21</v>
      </c>
      <c r="D102" s="28">
        <v>636875.89</v>
      </c>
    </row>
    <row r="103" spans="1:4" x14ac:dyDescent="0.25">
      <c r="A103" s="28" t="s">
        <v>217</v>
      </c>
      <c r="B103" s="28">
        <v>13123967.69</v>
      </c>
      <c r="C103" s="28">
        <v>18432.54</v>
      </c>
      <c r="D103" s="28">
        <v>3004503.84</v>
      </c>
    </row>
    <row r="104" spans="1:4" x14ac:dyDescent="0.25">
      <c r="A104" s="28" t="s">
        <v>225</v>
      </c>
      <c r="B104" s="28">
        <v>18566.72</v>
      </c>
      <c r="C104" s="28">
        <v>26.08</v>
      </c>
      <c r="D104" s="28">
        <v>4250.53</v>
      </c>
    </row>
    <row r="105" spans="1:4" x14ac:dyDescent="0.25">
      <c r="A105" s="28" t="s">
        <v>228</v>
      </c>
      <c r="B105" s="28">
        <v>6339.12</v>
      </c>
      <c r="C105" s="28">
        <v>8.9</v>
      </c>
      <c r="D105" s="28">
        <v>1451.23</v>
      </c>
    </row>
    <row r="106" spans="1:4" x14ac:dyDescent="0.25">
      <c r="A106" s="28" t="s">
        <v>230</v>
      </c>
      <c r="B106" s="28">
        <v>202920</v>
      </c>
      <c r="C106" s="28">
        <v>285</v>
      </c>
      <c r="D106" s="28">
        <v>46455</v>
      </c>
    </row>
    <row r="107" spans="1:4" x14ac:dyDescent="0.25">
      <c r="A107" s="28" t="s">
        <v>235</v>
      </c>
      <c r="B107" s="28">
        <v>523877</v>
      </c>
      <c r="C107" s="28">
        <v>735.78</v>
      </c>
      <c r="D107" s="28">
        <v>119932.52</v>
      </c>
    </row>
    <row r="108" spans="1:4" x14ac:dyDescent="0.25">
      <c r="A108" s="28" t="s">
        <v>242</v>
      </c>
      <c r="B108" s="28">
        <v>1162290.82</v>
      </c>
      <c r="C108" s="28">
        <v>1632.43</v>
      </c>
      <c r="D108" s="28">
        <v>266086.24</v>
      </c>
    </row>
    <row r="109" spans="1:4" x14ac:dyDescent="0.25">
      <c r="A109" s="28" t="s">
        <v>253</v>
      </c>
      <c r="B109" s="28">
        <v>1913993.66</v>
      </c>
      <c r="C109" s="28">
        <v>2688.19</v>
      </c>
      <c r="D109" s="28">
        <v>438175.51</v>
      </c>
    </row>
    <row r="110" spans="1:4" x14ac:dyDescent="0.25">
      <c r="A110" s="28" t="s">
        <v>259</v>
      </c>
      <c r="B110" s="28">
        <v>4860</v>
      </c>
      <c r="C110" s="28">
        <v>6.83</v>
      </c>
      <c r="D110" s="28">
        <v>1112.61</v>
      </c>
    </row>
    <row r="111" spans="1:4" x14ac:dyDescent="0.25">
      <c r="A111" s="28" t="s">
        <v>261</v>
      </c>
      <c r="B111" s="28">
        <v>5760</v>
      </c>
      <c r="C111" s="28">
        <v>8.09</v>
      </c>
      <c r="D111" s="28">
        <v>1318.65</v>
      </c>
    </row>
    <row r="112" spans="1:4" x14ac:dyDescent="0.25">
      <c r="A112" s="28" t="s">
        <v>263</v>
      </c>
      <c r="B112" s="28">
        <v>9834.36</v>
      </c>
      <c r="C112" s="28">
        <v>13.81</v>
      </c>
      <c r="D112" s="28">
        <v>2251.41</v>
      </c>
    </row>
    <row r="113" spans="1:4" x14ac:dyDescent="0.25">
      <c r="A113" s="28" t="s">
        <v>265</v>
      </c>
      <c r="B113" s="28">
        <v>7374.84</v>
      </c>
      <c r="C113" s="28">
        <v>10.36</v>
      </c>
      <c r="D113" s="28">
        <v>1688.34</v>
      </c>
    </row>
    <row r="114" spans="1:4" x14ac:dyDescent="0.25">
      <c r="A114" s="28" t="s">
        <v>267</v>
      </c>
      <c r="B114" s="28">
        <v>49219.8</v>
      </c>
      <c r="C114" s="28">
        <v>69.13</v>
      </c>
      <c r="D114" s="28">
        <v>11268.02</v>
      </c>
    </row>
    <row r="115" spans="1:4" x14ac:dyDescent="0.25">
      <c r="A115" s="28" t="s">
        <v>269</v>
      </c>
      <c r="B115" s="28">
        <v>58610</v>
      </c>
      <c r="C115" s="28">
        <v>82.32</v>
      </c>
      <c r="D115" s="28">
        <v>13417.74</v>
      </c>
    </row>
    <row r="116" spans="1:4" x14ac:dyDescent="0.25">
      <c r="A116" s="28" t="s">
        <v>271</v>
      </c>
      <c r="B116" s="28">
        <v>11930</v>
      </c>
      <c r="C116" s="28">
        <v>16.76</v>
      </c>
      <c r="D116" s="28">
        <v>2731.17</v>
      </c>
    </row>
    <row r="117" spans="1:4" x14ac:dyDescent="0.25">
      <c r="A117" s="28" t="s">
        <v>275</v>
      </c>
      <c r="B117" s="28">
        <v>175</v>
      </c>
      <c r="C117" s="28">
        <v>0.25</v>
      </c>
      <c r="D117" s="28">
        <v>40.06</v>
      </c>
    </row>
    <row r="118" spans="1:4" x14ac:dyDescent="0.25">
      <c r="A118" s="28" t="s">
        <v>277</v>
      </c>
      <c r="B118" s="28">
        <v>2528.52</v>
      </c>
      <c r="C118" s="28">
        <v>3.55</v>
      </c>
      <c r="D118" s="28">
        <v>578.86</v>
      </c>
    </row>
    <row r="119" spans="1:4" x14ac:dyDescent="0.25">
      <c r="A119" s="28" t="s">
        <v>279</v>
      </c>
      <c r="B119" s="28">
        <v>1200</v>
      </c>
      <c r="C119" s="28">
        <v>1.69</v>
      </c>
      <c r="D119" s="28">
        <v>274.72</v>
      </c>
    </row>
    <row r="120" spans="1:4" x14ac:dyDescent="0.25">
      <c r="A120" s="28" t="s">
        <v>281</v>
      </c>
      <c r="B120" s="28">
        <v>27470</v>
      </c>
      <c r="C120" s="28">
        <v>38.58</v>
      </c>
      <c r="D120" s="28">
        <v>6288.78</v>
      </c>
    </row>
    <row r="121" spans="1:4" x14ac:dyDescent="0.25">
      <c r="A121" s="28" t="s">
        <v>285</v>
      </c>
      <c r="B121" s="28">
        <v>7018.32</v>
      </c>
      <c r="C121" s="28">
        <v>9.86</v>
      </c>
      <c r="D121" s="28">
        <v>1606.72</v>
      </c>
    </row>
    <row r="122" spans="1:4" x14ac:dyDescent="0.25">
      <c r="A122" s="28" t="s">
        <v>287</v>
      </c>
      <c r="B122" s="28">
        <v>2060</v>
      </c>
      <c r="C122" s="28">
        <v>2.89</v>
      </c>
      <c r="D122" s="28">
        <v>471.6</v>
      </c>
    </row>
    <row r="123" spans="1:4" x14ac:dyDescent="0.25">
      <c r="A123" s="28" t="s">
        <v>289</v>
      </c>
      <c r="B123" s="28">
        <v>220</v>
      </c>
      <c r="C123" s="28">
        <v>0.31</v>
      </c>
      <c r="D123" s="28">
        <v>50.37</v>
      </c>
    </row>
    <row r="124" spans="1:4" x14ac:dyDescent="0.25">
      <c r="A124" s="28" t="s">
        <v>299</v>
      </c>
      <c r="B124" s="28">
        <v>3515.64</v>
      </c>
      <c r="C124" s="28">
        <v>4.94</v>
      </c>
      <c r="D124" s="28">
        <v>804.84</v>
      </c>
    </row>
    <row r="125" spans="1:4" x14ac:dyDescent="0.25">
      <c r="A125" s="28" t="s">
        <v>301</v>
      </c>
      <c r="B125" s="28">
        <v>1200</v>
      </c>
      <c r="C125" s="28">
        <v>1.69</v>
      </c>
      <c r="D125" s="28">
        <v>274.72</v>
      </c>
    </row>
    <row r="126" spans="1:4" x14ac:dyDescent="0.25">
      <c r="A126" s="28" t="s">
        <v>303</v>
      </c>
      <c r="B126" s="28">
        <v>9900</v>
      </c>
      <c r="C126" s="28">
        <v>13.9</v>
      </c>
      <c r="D126" s="28">
        <v>2266.43</v>
      </c>
    </row>
    <row r="127" spans="1:4" x14ac:dyDescent="0.25">
      <c r="A127" s="28" t="s">
        <v>305</v>
      </c>
      <c r="B127" s="28">
        <v>9487.75</v>
      </c>
      <c r="C127" s="28">
        <v>13.33</v>
      </c>
      <c r="D127" s="28">
        <v>2172.06</v>
      </c>
    </row>
    <row r="128" spans="1:4" x14ac:dyDescent="0.25">
      <c r="A128" s="28" t="s">
        <v>307</v>
      </c>
      <c r="B128" s="28">
        <v>660</v>
      </c>
      <c r="C128" s="28">
        <v>0.93</v>
      </c>
      <c r="D128" s="28">
        <v>151.1</v>
      </c>
    </row>
    <row r="129" spans="1:4" x14ac:dyDescent="0.25">
      <c r="A129" s="28" t="s">
        <v>317</v>
      </c>
      <c r="B129" s="28">
        <v>930.12</v>
      </c>
      <c r="C129" s="28">
        <v>1.31</v>
      </c>
      <c r="D129" s="28">
        <v>212.93</v>
      </c>
    </row>
    <row r="130" spans="1:4" x14ac:dyDescent="0.25">
      <c r="A130" s="28" t="s">
        <v>319</v>
      </c>
      <c r="B130" s="28">
        <v>16343.28</v>
      </c>
      <c r="C130" s="28">
        <v>22.95</v>
      </c>
      <c r="D130" s="28">
        <v>3741.51</v>
      </c>
    </row>
    <row r="131" spans="1:4" x14ac:dyDescent="0.25">
      <c r="A131" s="28" t="s">
        <v>321</v>
      </c>
      <c r="B131" s="28">
        <v>41287.22</v>
      </c>
      <c r="C131" s="28">
        <v>57.99</v>
      </c>
      <c r="D131" s="28">
        <v>9451.99</v>
      </c>
    </row>
    <row r="132" spans="1:4" x14ac:dyDescent="0.25">
      <c r="A132" s="28" t="s">
        <v>337</v>
      </c>
      <c r="B132" s="28">
        <v>1955.4</v>
      </c>
      <c r="C132" s="28">
        <v>2.75</v>
      </c>
      <c r="D132" s="28">
        <v>447.65</v>
      </c>
    </row>
    <row r="133" spans="1:4" x14ac:dyDescent="0.25">
      <c r="A133" s="28" t="s">
        <v>341</v>
      </c>
      <c r="B133" s="28">
        <v>273540.25</v>
      </c>
      <c r="C133" s="28">
        <v>384.19</v>
      </c>
      <c r="D133" s="28">
        <v>62622.28</v>
      </c>
    </row>
    <row r="134" spans="1:4" x14ac:dyDescent="0.25">
      <c r="A134" s="28" t="s">
        <v>365</v>
      </c>
      <c r="B134" s="28">
        <v>396457.2</v>
      </c>
      <c r="C134" s="28">
        <v>556.82</v>
      </c>
      <c r="D134" s="28">
        <v>90761.97</v>
      </c>
    </row>
    <row r="135" spans="1:4" x14ac:dyDescent="0.25">
      <c r="A135" s="28" t="s">
        <v>368</v>
      </c>
      <c r="B135" s="28">
        <v>503099.28</v>
      </c>
      <c r="C135" s="28">
        <v>706.6</v>
      </c>
      <c r="D135" s="28">
        <v>115175.82</v>
      </c>
    </row>
    <row r="136" spans="1:4" x14ac:dyDescent="0.25">
      <c r="A136" s="28" t="s">
        <v>374</v>
      </c>
      <c r="B136" s="28">
        <v>35802.84</v>
      </c>
      <c r="C136" s="28">
        <v>50.28</v>
      </c>
      <c r="D136" s="28">
        <v>8196.44</v>
      </c>
    </row>
    <row r="137" spans="1:4" x14ac:dyDescent="0.25">
      <c r="A137" s="28" t="s">
        <v>377</v>
      </c>
      <c r="B137" s="28">
        <v>74460</v>
      </c>
      <c r="C137" s="28">
        <v>104.58</v>
      </c>
      <c r="D137" s="28">
        <v>17046.32</v>
      </c>
    </row>
    <row r="138" spans="1:4" x14ac:dyDescent="0.25">
      <c r="A138" s="28" t="s">
        <v>380</v>
      </c>
      <c r="B138" s="28">
        <v>61310</v>
      </c>
      <c r="C138" s="28">
        <v>86.11</v>
      </c>
      <c r="D138" s="28">
        <v>14035.86</v>
      </c>
    </row>
    <row r="139" spans="1:4" x14ac:dyDescent="0.25">
      <c r="A139" s="28" t="s">
        <v>383</v>
      </c>
      <c r="B139" s="28">
        <v>29905.08</v>
      </c>
      <c r="C139" s="28">
        <v>42</v>
      </c>
      <c r="D139" s="28">
        <v>6846.25</v>
      </c>
    </row>
    <row r="140" spans="1:4" x14ac:dyDescent="0.25">
      <c r="A140" s="28" t="s">
        <v>390</v>
      </c>
      <c r="B140" s="28">
        <v>5655.48</v>
      </c>
      <c r="C140" s="28">
        <v>7.94</v>
      </c>
      <c r="D140" s="28">
        <v>1294.72</v>
      </c>
    </row>
    <row r="141" spans="1:4" x14ac:dyDescent="0.25">
      <c r="A141" s="28" t="s">
        <v>393</v>
      </c>
      <c r="B141" s="28">
        <v>90429.96</v>
      </c>
      <c r="C141" s="28">
        <v>127.01</v>
      </c>
      <c r="D141" s="28">
        <v>20702.36</v>
      </c>
    </row>
    <row r="142" spans="1:4" x14ac:dyDescent="0.25">
      <c r="A142" s="28" t="s">
        <v>396</v>
      </c>
      <c r="B142" s="28">
        <v>9190</v>
      </c>
      <c r="C142" s="28">
        <v>12.91</v>
      </c>
      <c r="D142" s="28">
        <v>2103.89</v>
      </c>
    </row>
    <row r="143" spans="1:4" x14ac:dyDescent="0.25">
      <c r="A143" s="28" t="s">
        <v>399</v>
      </c>
      <c r="B143" s="28">
        <v>31440</v>
      </c>
      <c r="C143" s="28">
        <v>44.16</v>
      </c>
      <c r="D143" s="28">
        <v>7197.64</v>
      </c>
    </row>
    <row r="144" spans="1:4" x14ac:dyDescent="0.25">
      <c r="A144" s="28" t="s">
        <v>402</v>
      </c>
      <c r="B144" s="28">
        <v>141493.64</v>
      </c>
      <c r="C144" s="28">
        <v>198.73</v>
      </c>
      <c r="D144" s="28">
        <v>32392.5</v>
      </c>
    </row>
    <row r="145" spans="1:4" x14ac:dyDescent="0.25">
      <c r="A145" s="28" t="s">
        <v>405</v>
      </c>
      <c r="B145" s="28">
        <v>600</v>
      </c>
      <c r="C145" s="28">
        <v>0.84</v>
      </c>
      <c r="D145" s="28">
        <v>137.36</v>
      </c>
    </row>
    <row r="146" spans="1:4" x14ac:dyDescent="0.25">
      <c r="A146" s="28" t="s">
        <v>412</v>
      </c>
      <c r="B146" s="28">
        <v>1379843.48</v>
      </c>
      <c r="C146" s="28">
        <v>1937.98</v>
      </c>
      <c r="D146" s="28">
        <v>315891.13</v>
      </c>
    </row>
    <row r="147" spans="1:4" x14ac:dyDescent="0.25">
      <c r="A147" s="28" t="s">
        <v>416</v>
      </c>
      <c r="B147" s="28">
        <v>39502.21</v>
      </c>
      <c r="C147" s="28">
        <v>55.48</v>
      </c>
      <c r="D147" s="28">
        <v>9043.34</v>
      </c>
    </row>
    <row r="148" spans="1:4" x14ac:dyDescent="0.25">
      <c r="A148" s="28" t="s">
        <v>419</v>
      </c>
      <c r="B148" s="28">
        <v>31249.2</v>
      </c>
      <c r="C148" s="28">
        <v>43.89</v>
      </c>
      <c r="D148" s="28">
        <v>7153.96</v>
      </c>
    </row>
    <row r="149" spans="1:4" x14ac:dyDescent="0.25">
      <c r="A149" s="28" t="s">
        <v>427</v>
      </c>
      <c r="B149" s="28">
        <v>7434</v>
      </c>
      <c r="C149" s="28">
        <v>10.44</v>
      </c>
      <c r="D149" s="28">
        <v>1701.88</v>
      </c>
    </row>
    <row r="150" spans="1:4" x14ac:dyDescent="0.25">
      <c r="A150" s="28" t="s">
        <v>429</v>
      </c>
      <c r="B150" s="28">
        <v>3067.62</v>
      </c>
      <c r="C150" s="28">
        <v>4.31</v>
      </c>
      <c r="D150" s="28">
        <v>702.28</v>
      </c>
    </row>
    <row r="151" spans="1:4" x14ac:dyDescent="0.25">
      <c r="A151" s="28" t="s">
        <v>431</v>
      </c>
      <c r="B151" s="28">
        <v>1473.08</v>
      </c>
      <c r="C151" s="28">
        <v>2.07</v>
      </c>
      <c r="D151" s="28">
        <v>337.24</v>
      </c>
    </row>
    <row r="152" spans="1:4" x14ac:dyDescent="0.25">
      <c r="A152" s="28" t="s">
        <v>435</v>
      </c>
      <c r="B152" s="28">
        <v>299.08</v>
      </c>
      <c r="C152" s="28">
        <v>0.42</v>
      </c>
      <c r="D152" s="28">
        <v>68.47</v>
      </c>
    </row>
    <row r="153" spans="1:4" x14ac:dyDescent="0.25">
      <c r="A153" s="28" t="s">
        <v>437</v>
      </c>
      <c r="B153" s="28">
        <v>1380</v>
      </c>
      <c r="C153" s="28">
        <v>1.94</v>
      </c>
      <c r="D153" s="28">
        <v>315.93</v>
      </c>
    </row>
    <row r="154" spans="1:4" x14ac:dyDescent="0.25">
      <c r="A154" s="28" t="s">
        <v>439</v>
      </c>
      <c r="B154" s="28">
        <v>7600.53</v>
      </c>
      <c r="C154" s="28">
        <v>10.67</v>
      </c>
      <c r="D154" s="28">
        <v>1740.01</v>
      </c>
    </row>
    <row r="155" spans="1:4" x14ac:dyDescent="0.25">
      <c r="A155" s="28" t="s">
        <v>445</v>
      </c>
      <c r="B155" s="28">
        <v>22828.79</v>
      </c>
      <c r="C155" s="28">
        <v>32.06</v>
      </c>
      <c r="D155" s="28">
        <v>5226.25</v>
      </c>
    </row>
    <row r="156" spans="1:4" x14ac:dyDescent="0.25">
      <c r="A156" s="28" t="s">
        <v>447</v>
      </c>
      <c r="B156" s="28">
        <v>11520.4</v>
      </c>
      <c r="C156" s="28">
        <v>16.18</v>
      </c>
      <c r="D156" s="28">
        <v>2637.39</v>
      </c>
    </row>
    <row r="157" spans="1:4" x14ac:dyDescent="0.25">
      <c r="A157" s="28" t="s">
        <v>449</v>
      </c>
      <c r="B157" s="28">
        <v>17629.2</v>
      </c>
      <c r="C157" s="28">
        <v>24.76</v>
      </c>
      <c r="D157" s="28">
        <v>4035.9</v>
      </c>
    </row>
    <row r="158" spans="1:4" x14ac:dyDescent="0.25">
      <c r="A158" s="28" t="s">
        <v>451</v>
      </c>
      <c r="B158" s="28">
        <v>1980</v>
      </c>
      <c r="C158" s="28">
        <v>2.78</v>
      </c>
      <c r="D158" s="28">
        <v>453.29</v>
      </c>
    </row>
    <row r="159" spans="1:4" x14ac:dyDescent="0.25">
      <c r="A159" s="28" t="s">
        <v>455</v>
      </c>
      <c r="B159" s="28">
        <v>145964.11</v>
      </c>
      <c r="C159" s="28">
        <v>205.01</v>
      </c>
      <c r="D159" s="28">
        <v>33415.94</v>
      </c>
    </row>
    <row r="160" spans="1:4" x14ac:dyDescent="0.25">
      <c r="A160" s="28" t="s">
        <v>461</v>
      </c>
      <c r="B160" s="28">
        <v>5016.12</v>
      </c>
      <c r="C160" s="28">
        <v>7.05</v>
      </c>
      <c r="D160" s="28">
        <v>1148.35</v>
      </c>
    </row>
    <row r="161" spans="1:4" x14ac:dyDescent="0.25">
      <c r="A161" s="28" t="s">
        <v>464</v>
      </c>
      <c r="B161" s="28">
        <v>214245</v>
      </c>
      <c r="C161" s="28">
        <v>300.91</v>
      </c>
      <c r="D161" s="28">
        <v>49047.66</v>
      </c>
    </row>
    <row r="162" spans="1:4" x14ac:dyDescent="0.25">
      <c r="A162" s="28" t="s">
        <v>468</v>
      </c>
      <c r="B162" s="28">
        <v>16635</v>
      </c>
      <c r="C162" s="28">
        <v>23.36</v>
      </c>
      <c r="D162" s="28">
        <v>3808.29</v>
      </c>
    </row>
    <row r="163" spans="1:4" x14ac:dyDescent="0.25">
      <c r="A163" s="28" t="s">
        <v>472</v>
      </c>
      <c r="B163" s="28">
        <v>117965</v>
      </c>
      <c r="C163" s="28">
        <v>165.68</v>
      </c>
      <c r="D163" s="28">
        <v>27006.03</v>
      </c>
    </row>
    <row r="164" spans="1:4" x14ac:dyDescent="0.25">
      <c r="A164" s="28" t="s">
        <v>480</v>
      </c>
      <c r="B164" s="28">
        <v>183180</v>
      </c>
      <c r="C164" s="28">
        <v>257.28</v>
      </c>
      <c r="D164" s="28">
        <v>41935.87</v>
      </c>
    </row>
    <row r="165" spans="1:4" x14ac:dyDescent="0.25">
      <c r="A165" s="28" t="s">
        <v>484</v>
      </c>
      <c r="B165" s="28">
        <v>6366.6</v>
      </c>
      <c r="C165" s="28">
        <v>8.94</v>
      </c>
      <c r="D165" s="28">
        <v>1457.52</v>
      </c>
    </row>
    <row r="166" spans="1:4" x14ac:dyDescent="0.25">
      <c r="A166" s="28" t="s">
        <v>488</v>
      </c>
      <c r="B166" s="28">
        <v>34449.48</v>
      </c>
      <c r="C166" s="28">
        <v>48.38</v>
      </c>
      <c r="D166" s="28">
        <v>7886.61</v>
      </c>
    </row>
    <row r="167" spans="1:4" x14ac:dyDescent="0.25">
      <c r="A167" s="28" t="s">
        <v>490</v>
      </c>
      <c r="B167" s="28">
        <v>17129.88</v>
      </c>
      <c r="C167" s="28">
        <v>24.06</v>
      </c>
      <c r="D167" s="28">
        <v>3921.59</v>
      </c>
    </row>
    <row r="168" spans="1:4" x14ac:dyDescent="0.25">
      <c r="A168" s="28" t="s">
        <v>492</v>
      </c>
      <c r="B168" s="28">
        <v>114350</v>
      </c>
      <c r="C168" s="28">
        <v>160.6</v>
      </c>
      <c r="D168" s="28">
        <v>26178.44</v>
      </c>
    </row>
    <row r="169" spans="1:4" x14ac:dyDescent="0.25">
      <c r="A169" s="28" t="s">
        <v>496</v>
      </c>
      <c r="B169" s="28">
        <v>172620</v>
      </c>
      <c r="C169" s="28">
        <v>242.44</v>
      </c>
      <c r="D169" s="28">
        <v>39518.34</v>
      </c>
    </row>
    <row r="170" spans="1:4" x14ac:dyDescent="0.25">
      <c r="A170" s="28" t="s">
        <v>506</v>
      </c>
      <c r="B170" s="28">
        <v>881957.08</v>
      </c>
      <c r="C170" s="28">
        <v>1238.7</v>
      </c>
      <c r="D170" s="28">
        <v>201908.71</v>
      </c>
    </row>
    <row r="171" spans="1:4" x14ac:dyDescent="0.25">
      <c r="A171" s="28" t="s">
        <v>512</v>
      </c>
      <c r="B171" s="28">
        <v>14970</v>
      </c>
      <c r="C171" s="28">
        <v>21.03</v>
      </c>
      <c r="D171" s="28">
        <v>3427.12</v>
      </c>
    </row>
    <row r="172" spans="1:4" x14ac:dyDescent="0.25">
      <c r="A172" s="28" t="s">
        <v>515</v>
      </c>
      <c r="B172" s="28">
        <v>4560</v>
      </c>
      <c r="C172" s="28">
        <v>6.4</v>
      </c>
      <c r="D172" s="28">
        <v>1043.93</v>
      </c>
    </row>
    <row r="173" spans="1:4" x14ac:dyDescent="0.25">
      <c r="A173" s="28" t="s">
        <v>519</v>
      </c>
      <c r="B173" s="28">
        <v>3120</v>
      </c>
      <c r="C173" s="28">
        <v>4.38</v>
      </c>
      <c r="D173" s="28">
        <v>714.27</v>
      </c>
    </row>
    <row r="174" spans="1:4" x14ac:dyDescent="0.25">
      <c r="A174" s="28" t="s">
        <v>521</v>
      </c>
      <c r="B174" s="28">
        <v>12410</v>
      </c>
      <c r="C174" s="28">
        <v>17.43</v>
      </c>
      <c r="D174" s="28">
        <v>2841.05</v>
      </c>
    </row>
    <row r="175" spans="1:4" x14ac:dyDescent="0.25">
      <c r="A175" s="28" t="s">
        <v>523</v>
      </c>
      <c r="B175" s="28">
        <v>2203.08</v>
      </c>
      <c r="C175" s="28">
        <v>3.09</v>
      </c>
      <c r="D175" s="28">
        <v>504.36</v>
      </c>
    </row>
    <row r="176" spans="1:4" x14ac:dyDescent="0.25">
      <c r="A176" s="28" t="s">
        <v>529</v>
      </c>
      <c r="B176" s="28">
        <v>8067.84</v>
      </c>
      <c r="C176" s="28">
        <v>11.33</v>
      </c>
      <c r="D176" s="28">
        <v>1846.99</v>
      </c>
    </row>
    <row r="177" spans="1:4" x14ac:dyDescent="0.25">
      <c r="A177" s="28" t="s">
        <v>531</v>
      </c>
      <c r="B177" s="28">
        <v>11740.56</v>
      </c>
      <c r="C177" s="28">
        <v>16.49</v>
      </c>
      <c r="D177" s="28">
        <v>2687.8</v>
      </c>
    </row>
    <row r="178" spans="1:4" x14ac:dyDescent="0.25">
      <c r="A178" s="28" t="s">
        <v>533</v>
      </c>
      <c r="B178" s="28">
        <v>18840</v>
      </c>
      <c r="C178" s="28">
        <v>26.46</v>
      </c>
      <c r="D178" s="28">
        <v>4313.09</v>
      </c>
    </row>
    <row r="179" spans="1:4" x14ac:dyDescent="0.25">
      <c r="A179" s="28" t="s">
        <v>535</v>
      </c>
      <c r="B179" s="28">
        <v>5679.72</v>
      </c>
      <c r="C179" s="28">
        <v>7.98</v>
      </c>
      <c r="D179" s="28">
        <v>1300.27</v>
      </c>
    </row>
    <row r="180" spans="1:4" x14ac:dyDescent="0.25">
      <c r="A180" s="28" t="s">
        <v>537</v>
      </c>
      <c r="B180" s="28">
        <v>18814.2</v>
      </c>
      <c r="C180" s="28">
        <v>26.42</v>
      </c>
      <c r="D180" s="28">
        <v>4307.18</v>
      </c>
    </row>
    <row r="181" spans="1:4" x14ac:dyDescent="0.25">
      <c r="A181" s="28" t="s">
        <v>539</v>
      </c>
      <c r="B181" s="28">
        <v>20940</v>
      </c>
      <c r="C181" s="28">
        <v>29.41</v>
      </c>
      <c r="D181" s="28">
        <v>4793.85</v>
      </c>
    </row>
    <row r="182" spans="1:4" x14ac:dyDescent="0.25">
      <c r="A182" s="28" t="s">
        <v>541</v>
      </c>
      <c r="B182" s="28">
        <v>24019.56</v>
      </c>
      <c r="C182" s="28">
        <v>33.74</v>
      </c>
      <c r="D182" s="28">
        <v>5498.86</v>
      </c>
    </row>
    <row r="183" spans="1:4" x14ac:dyDescent="0.25">
      <c r="A183" s="28" t="s">
        <v>543</v>
      </c>
      <c r="B183" s="28">
        <v>7284.96</v>
      </c>
      <c r="C183" s="28">
        <v>10.23</v>
      </c>
      <c r="D183" s="28">
        <v>1667.76</v>
      </c>
    </row>
    <row r="184" spans="1:4" x14ac:dyDescent="0.25">
      <c r="A184" s="28" t="s">
        <v>545</v>
      </c>
      <c r="B184" s="28">
        <v>2000.04</v>
      </c>
      <c r="C184" s="28">
        <v>2.81</v>
      </c>
      <c r="D184" s="28">
        <v>457.87</v>
      </c>
    </row>
    <row r="185" spans="1:4" x14ac:dyDescent="0.25">
      <c r="A185" s="28" t="s">
        <v>547</v>
      </c>
      <c r="B185" s="28">
        <v>15930</v>
      </c>
      <c r="C185" s="28">
        <v>22.37</v>
      </c>
      <c r="D185" s="28">
        <v>3646.9</v>
      </c>
    </row>
    <row r="186" spans="1:4" x14ac:dyDescent="0.25">
      <c r="A186" s="28" t="s">
        <v>549</v>
      </c>
      <c r="B186" s="28">
        <v>3465.84</v>
      </c>
      <c r="C186" s="28">
        <v>4.87</v>
      </c>
      <c r="D186" s="28">
        <v>793.44</v>
      </c>
    </row>
    <row r="187" spans="1:4" x14ac:dyDescent="0.25">
      <c r="A187" s="28" t="s">
        <v>551</v>
      </c>
      <c r="B187" s="28">
        <v>300</v>
      </c>
      <c r="C187" s="28">
        <v>0.42</v>
      </c>
      <c r="D187" s="28">
        <v>68.68</v>
      </c>
    </row>
    <row r="188" spans="1:4" x14ac:dyDescent="0.25">
      <c r="A188" s="28" t="s">
        <v>553</v>
      </c>
      <c r="B188" s="28">
        <v>5080</v>
      </c>
      <c r="C188" s="28">
        <v>7.13</v>
      </c>
      <c r="D188" s="28">
        <v>1162.98</v>
      </c>
    </row>
    <row r="189" spans="1:4" x14ac:dyDescent="0.25">
      <c r="A189" s="28" t="s">
        <v>555</v>
      </c>
      <c r="B189" s="28">
        <v>179425.8</v>
      </c>
      <c r="C189" s="28">
        <v>252</v>
      </c>
      <c r="D189" s="28">
        <v>41076.41</v>
      </c>
    </row>
    <row r="190" spans="1:4" x14ac:dyDescent="0.25">
      <c r="A190" s="28" t="s">
        <v>561</v>
      </c>
      <c r="B190" s="28">
        <v>2797.32</v>
      </c>
      <c r="C190" s="28">
        <v>3.93</v>
      </c>
      <c r="D190" s="28">
        <v>640.4</v>
      </c>
    </row>
    <row r="191" spans="1:4" x14ac:dyDescent="0.25">
      <c r="A191" s="28" t="s">
        <v>569</v>
      </c>
      <c r="B191" s="28">
        <v>7410</v>
      </c>
      <c r="C191" s="28">
        <v>10.41</v>
      </c>
      <c r="D191" s="28">
        <v>1696.39</v>
      </c>
    </row>
    <row r="192" spans="1:4" x14ac:dyDescent="0.25">
      <c r="A192" s="28" t="s">
        <v>575</v>
      </c>
      <c r="B192" s="28">
        <v>3120</v>
      </c>
      <c r="C192" s="28">
        <v>4.38</v>
      </c>
      <c r="D192" s="28">
        <v>714.27</v>
      </c>
    </row>
    <row r="193" spans="1:4" x14ac:dyDescent="0.25">
      <c r="A193" s="28" t="s">
        <v>577</v>
      </c>
      <c r="B193" s="28">
        <v>8570</v>
      </c>
      <c r="C193" s="28">
        <v>12.04</v>
      </c>
      <c r="D193" s="28">
        <v>1961.95</v>
      </c>
    </row>
    <row r="194" spans="1:4" x14ac:dyDescent="0.25">
      <c r="A194" s="28" t="s">
        <v>583</v>
      </c>
      <c r="B194" s="28">
        <v>720</v>
      </c>
      <c r="C194" s="28">
        <v>1.01</v>
      </c>
      <c r="D194" s="28">
        <v>164.83</v>
      </c>
    </row>
    <row r="195" spans="1:4" x14ac:dyDescent="0.25">
      <c r="A195" s="28" t="s">
        <v>585</v>
      </c>
      <c r="B195" s="28">
        <v>22617.32</v>
      </c>
      <c r="C195" s="28">
        <v>31.77</v>
      </c>
      <c r="D195" s="28">
        <v>5177.84</v>
      </c>
    </row>
    <row r="196" spans="1:4" x14ac:dyDescent="0.25">
      <c r="A196" s="28" t="s">
        <v>589</v>
      </c>
      <c r="B196" s="28">
        <v>38140</v>
      </c>
      <c r="C196" s="28">
        <v>53.57</v>
      </c>
      <c r="D196" s="28">
        <v>8731.49</v>
      </c>
    </row>
    <row r="197" spans="1:4" x14ac:dyDescent="0.25">
      <c r="A197" s="28" t="s">
        <v>605</v>
      </c>
      <c r="B197" s="28">
        <v>9960</v>
      </c>
      <c r="C197" s="28">
        <v>13.99</v>
      </c>
      <c r="D197" s="28">
        <v>2280.17</v>
      </c>
    </row>
    <row r="198" spans="1:4" x14ac:dyDescent="0.25">
      <c r="A198" s="28" t="s">
        <v>607</v>
      </c>
      <c r="B198" s="28">
        <v>32900</v>
      </c>
      <c r="C198" s="28">
        <v>46.21</v>
      </c>
      <c r="D198" s="28">
        <v>7531.88</v>
      </c>
    </row>
    <row r="199" spans="1:4" x14ac:dyDescent="0.25">
      <c r="A199" s="28" t="s">
        <v>609</v>
      </c>
      <c r="B199" s="28">
        <v>26106.8</v>
      </c>
      <c r="C199" s="28">
        <v>36.67</v>
      </c>
      <c r="D199" s="28">
        <v>5976.7</v>
      </c>
    </row>
    <row r="200" spans="1:4" x14ac:dyDescent="0.25">
      <c r="A200" s="28" t="s">
        <v>611</v>
      </c>
      <c r="B200" s="28">
        <v>9889.08</v>
      </c>
      <c r="C200" s="28">
        <v>13.89</v>
      </c>
      <c r="D200" s="28">
        <v>2263.93</v>
      </c>
    </row>
    <row r="201" spans="1:4" x14ac:dyDescent="0.25">
      <c r="A201" s="28" t="s">
        <v>613</v>
      </c>
      <c r="B201" s="28">
        <v>22777</v>
      </c>
      <c r="C201" s="28">
        <v>31.99</v>
      </c>
      <c r="D201" s="28">
        <v>5214.4</v>
      </c>
    </row>
    <row r="202" spans="1:4" x14ac:dyDescent="0.25">
      <c r="A202" s="28" t="s">
        <v>615</v>
      </c>
      <c r="B202" s="28">
        <v>33210</v>
      </c>
      <c r="C202" s="28">
        <v>46.64</v>
      </c>
      <c r="D202" s="28">
        <v>7602.85</v>
      </c>
    </row>
    <row r="203" spans="1:4" x14ac:dyDescent="0.25">
      <c r="A203" s="28" t="s">
        <v>617</v>
      </c>
      <c r="B203" s="28">
        <v>1980</v>
      </c>
      <c r="C203" s="28">
        <v>2.78</v>
      </c>
      <c r="D203" s="28">
        <v>453.29</v>
      </c>
    </row>
    <row r="204" spans="1:4" x14ac:dyDescent="0.25">
      <c r="A204" s="28" t="s">
        <v>619</v>
      </c>
      <c r="B204" s="28">
        <v>114761.26</v>
      </c>
      <c r="C204" s="28">
        <v>161.18</v>
      </c>
      <c r="D204" s="28">
        <v>26272.59</v>
      </c>
    </row>
    <row r="205" spans="1:4" x14ac:dyDescent="0.25">
      <c r="A205" s="28" t="s">
        <v>621</v>
      </c>
      <c r="B205" s="28">
        <v>256245</v>
      </c>
      <c r="C205" s="28">
        <v>359.89</v>
      </c>
      <c r="D205" s="28">
        <v>58662.83</v>
      </c>
    </row>
    <row r="206" spans="1:4" x14ac:dyDescent="0.25">
      <c r="A206" s="28" t="s">
        <v>623</v>
      </c>
      <c r="B206" s="28">
        <v>37985</v>
      </c>
      <c r="C206" s="28">
        <v>53.35</v>
      </c>
      <c r="D206" s="28">
        <v>8696</v>
      </c>
    </row>
    <row r="207" spans="1:4" x14ac:dyDescent="0.25">
      <c r="A207" s="28" t="s">
        <v>625</v>
      </c>
      <c r="B207" s="28">
        <v>28740</v>
      </c>
      <c r="C207" s="28">
        <v>40.37</v>
      </c>
      <c r="D207" s="28">
        <v>6579.52</v>
      </c>
    </row>
    <row r="208" spans="1:4" x14ac:dyDescent="0.25">
      <c r="A208" s="28" t="s">
        <v>627</v>
      </c>
      <c r="B208" s="28">
        <v>4770.36</v>
      </c>
      <c r="C208" s="28">
        <v>6.7</v>
      </c>
      <c r="D208" s="28">
        <v>1092.09</v>
      </c>
    </row>
    <row r="209" spans="1:4" x14ac:dyDescent="0.25">
      <c r="A209" s="28" t="s">
        <v>631</v>
      </c>
      <c r="B209" s="28">
        <v>22000</v>
      </c>
      <c r="C209" s="28">
        <v>30.9</v>
      </c>
      <c r="D209" s="28">
        <v>5036.52</v>
      </c>
    </row>
    <row r="210" spans="1:4" x14ac:dyDescent="0.25">
      <c r="A210" s="28" t="s">
        <v>633</v>
      </c>
      <c r="B210" s="28">
        <v>4402.56</v>
      </c>
      <c r="C210" s="28">
        <v>6.18</v>
      </c>
      <c r="D210" s="28">
        <v>1007.89</v>
      </c>
    </row>
    <row r="211" spans="1:4" x14ac:dyDescent="0.25">
      <c r="A211" s="28" t="s">
        <v>635</v>
      </c>
      <c r="B211" s="28">
        <v>6688.92</v>
      </c>
      <c r="C211" s="28">
        <v>9.39</v>
      </c>
      <c r="D211" s="28">
        <v>1531.31</v>
      </c>
    </row>
    <row r="212" spans="1:4" x14ac:dyDescent="0.25">
      <c r="A212" s="28" t="s">
        <v>637</v>
      </c>
      <c r="B212" s="28">
        <v>23670</v>
      </c>
      <c r="C212" s="28">
        <v>33.24</v>
      </c>
      <c r="D212" s="28">
        <v>5418.83</v>
      </c>
    </row>
    <row r="213" spans="1:4" x14ac:dyDescent="0.25">
      <c r="A213" s="28" t="s">
        <v>639</v>
      </c>
      <c r="B213" s="28">
        <v>674225.98</v>
      </c>
      <c r="C213" s="28">
        <v>946.95</v>
      </c>
      <c r="D213" s="28">
        <v>154352.3</v>
      </c>
    </row>
    <row r="214" spans="1:4" x14ac:dyDescent="0.25">
      <c r="A214" s="28" t="s">
        <v>643</v>
      </c>
      <c r="B214" s="28">
        <v>78420</v>
      </c>
      <c r="C214" s="28">
        <v>110.14</v>
      </c>
      <c r="D214" s="28">
        <v>17952.89</v>
      </c>
    </row>
    <row r="215" spans="1:4" x14ac:dyDescent="0.25">
      <c r="A215" s="28" t="s">
        <v>646</v>
      </c>
      <c r="B215" s="28">
        <v>1560</v>
      </c>
      <c r="C215" s="28">
        <v>2.19</v>
      </c>
      <c r="D215" s="28">
        <v>357.13</v>
      </c>
    </row>
    <row r="216" spans="1:4" x14ac:dyDescent="0.25">
      <c r="A216" s="28" t="s">
        <v>648</v>
      </c>
      <c r="B216" s="28">
        <v>248200</v>
      </c>
      <c r="C216" s="28">
        <v>348.6</v>
      </c>
      <c r="D216" s="28">
        <v>56821.07</v>
      </c>
    </row>
    <row r="217" spans="1:4" x14ac:dyDescent="0.25">
      <c r="A217" s="28" t="s">
        <v>650</v>
      </c>
      <c r="B217" s="28">
        <v>2820</v>
      </c>
      <c r="C217" s="28">
        <v>3.96</v>
      </c>
      <c r="D217" s="28">
        <v>645.59</v>
      </c>
    </row>
    <row r="218" spans="1:4" x14ac:dyDescent="0.25">
      <c r="A218" s="28" t="s">
        <v>652</v>
      </c>
      <c r="B218" s="28">
        <v>2880</v>
      </c>
      <c r="C218" s="28">
        <v>4.04</v>
      </c>
      <c r="D218" s="28">
        <v>659.33</v>
      </c>
    </row>
    <row r="219" spans="1:4" x14ac:dyDescent="0.25">
      <c r="A219" s="28" t="s">
        <v>654</v>
      </c>
      <c r="B219" s="28">
        <v>2160</v>
      </c>
      <c r="C219" s="28">
        <v>3.03</v>
      </c>
      <c r="D219" s="28">
        <v>494.49</v>
      </c>
    </row>
    <row r="220" spans="1:4" x14ac:dyDescent="0.25">
      <c r="A220" s="28" t="s">
        <v>656</v>
      </c>
      <c r="B220" s="28">
        <v>5332.32</v>
      </c>
      <c r="C220" s="28">
        <v>7.49</v>
      </c>
      <c r="D220" s="28">
        <v>1220.74</v>
      </c>
    </row>
    <row r="221" spans="1:4" x14ac:dyDescent="0.25">
      <c r="A221" s="28" t="s">
        <v>658</v>
      </c>
      <c r="B221" s="28">
        <v>3780</v>
      </c>
      <c r="C221" s="28">
        <v>5.31</v>
      </c>
      <c r="D221" s="28">
        <v>865.37</v>
      </c>
    </row>
    <row r="222" spans="1:4" x14ac:dyDescent="0.25">
      <c r="A222" s="28" t="s">
        <v>660</v>
      </c>
      <c r="B222" s="28">
        <v>90270</v>
      </c>
      <c r="C222" s="28">
        <v>126.78</v>
      </c>
      <c r="D222" s="28">
        <v>20665.74</v>
      </c>
    </row>
    <row r="223" spans="1:4" x14ac:dyDescent="0.25">
      <c r="A223" s="28" t="s">
        <v>662</v>
      </c>
      <c r="B223" s="28">
        <v>11930.16</v>
      </c>
      <c r="C223" s="28">
        <v>16.76</v>
      </c>
      <c r="D223" s="28">
        <v>2731.2</v>
      </c>
    </row>
    <row r="224" spans="1:4" x14ac:dyDescent="0.25">
      <c r="A224" s="28" t="s">
        <v>664</v>
      </c>
      <c r="B224" s="28">
        <v>2107.44</v>
      </c>
      <c r="C224" s="28">
        <v>2.96</v>
      </c>
      <c r="D224" s="28">
        <v>482.46</v>
      </c>
    </row>
    <row r="225" spans="1:4" x14ac:dyDescent="0.25">
      <c r="A225" s="28" t="s">
        <v>666</v>
      </c>
      <c r="B225" s="28">
        <v>1200</v>
      </c>
      <c r="C225" s="28">
        <v>1.69</v>
      </c>
      <c r="D225" s="28">
        <v>274.72</v>
      </c>
    </row>
    <row r="226" spans="1:4" x14ac:dyDescent="0.25">
      <c r="A226" s="28" t="s">
        <v>676</v>
      </c>
      <c r="B226" s="28">
        <v>450659.92</v>
      </c>
      <c r="C226" s="28">
        <v>632.95</v>
      </c>
      <c r="D226" s="28">
        <v>103170.74</v>
      </c>
    </row>
    <row r="227" spans="1:4" x14ac:dyDescent="0.25">
      <c r="A227" s="28" t="s">
        <v>678</v>
      </c>
      <c r="B227" s="28">
        <v>1326929.02</v>
      </c>
      <c r="C227" s="28">
        <v>1863.66</v>
      </c>
      <c r="D227" s="28">
        <v>303777.29</v>
      </c>
    </row>
    <row r="228" spans="1:4" x14ac:dyDescent="0.25">
      <c r="A228" s="28" t="s">
        <v>680</v>
      </c>
      <c r="B228" s="28">
        <v>5922227.6</v>
      </c>
      <c r="C228" s="28">
        <v>8317.74</v>
      </c>
      <c r="D228" s="28">
        <v>1355790.87</v>
      </c>
    </row>
    <row r="229" spans="1:4" x14ac:dyDescent="0.25">
      <c r="A229" s="28" t="s">
        <v>682</v>
      </c>
      <c r="B229" s="28">
        <v>5922227.6</v>
      </c>
      <c r="C229" s="28">
        <v>8317.74</v>
      </c>
      <c r="D229" s="28">
        <v>1355790.87</v>
      </c>
    </row>
    <row r="230" spans="1:4" x14ac:dyDescent="0.25">
      <c r="A230" s="28" t="s">
        <v>684</v>
      </c>
      <c r="B230" s="28">
        <v>7201740.09</v>
      </c>
      <c r="C230" s="28">
        <v>10114.8</v>
      </c>
      <c r="D230" s="28">
        <v>1648712.97</v>
      </c>
    </row>
    <row r="231" spans="1:4" x14ac:dyDescent="0.25">
      <c r="A231" s="28" t="s">
        <v>688</v>
      </c>
      <c r="B231" s="28">
        <v>2736215.31</v>
      </c>
      <c r="C231" s="28">
        <v>3843</v>
      </c>
      <c r="D231" s="28">
        <v>626408.84</v>
      </c>
    </row>
    <row r="232" spans="1:4" x14ac:dyDescent="0.25">
      <c r="A232" s="28" t="s">
        <v>692</v>
      </c>
      <c r="B232" s="28">
        <v>4090.69</v>
      </c>
      <c r="C232" s="28">
        <v>5.75</v>
      </c>
      <c r="D232" s="28">
        <v>936.49</v>
      </c>
    </row>
    <row r="233" spans="1:4" x14ac:dyDescent="0.25">
      <c r="A233" s="28" t="s">
        <v>694</v>
      </c>
      <c r="B233" s="28">
        <v>2740306</v>
      </c>
      <c r="C233" s="28">
        <v>3848.74</v>
      </c>
      <c r="D233" s="28">
        <v>627345.33</v>
      </c>
    </row>
    <row r="234" spans="1:4" x14ac:dyDescent="0.25">
      <c r="A234" s="28" t="s">
        <v>700</v>
      </c>
      <c r="B234" s="28">
        <v>50000</v>
      </c>
      <c r="C234" s="28">
        <v>70.22</v>
      </c>
      <c r="D234" s="28">
        <v>11446.63</v>
      </c>
    </row>
    <row r="235" spans="1:4" x14ac:dyDescent="0.25">
      <c r="A235" s="28" t="s">
        <v>706</v>
      </c>
      <c r="B235" s="28">
        <v>50000</v>
      </c>
      <c r="C235" s="28">
        <v>70.22</v>
      </c>
      <c r="D235" s="28">
        <v>11446.63</v>
      </c>
    </row>
    <row r="236" spans="1:4" x14ac:dyDescent="0.25">
      <c r="A236" s="28" t="s">
        <v>716</v>
      </c>
      <c r="B236" s="28">
        <v>15000</v>
      </c>
      <c r="C236" s="28">
        <v>21.07</v>
      </c>
      <c r="D236" s="28">
        <v>3433.99</v>
      </c>
    </row>
    <row r="237" spans="1:4" x14ac:dyDescent="0.25">
      <c r="A237" s="28" t="s">
        <v>724</v>
      </c>
      <c r="B237" s="28">
        <v>55000</v>
      </c>
      <c r="C237" s="28">
        <v>77.25</v>
      </c>
      <c r="D237" s="28">
        <v>12591.29</v>
      </c>
    </row>
    <row r="238" spans="1:4" x14ac:dyDescent="0.25">
      <c r="A238" s="28" t="s">
        <v>730</v>
      </c>
      <c r="B238" s="28">
        <v>17500</v>
      </c>
      <c r="C238" s="28">
        <v>24.58</v>
      </c>
      <c r="D238" s="28">
        <v>4006.32</v>
      </c>
    </row>
    <row r="239" spans="1:4" x14ac:dyDescent="0.25">
      <c r="A239" s="28" t="s">
        <v>732</v>
      </c>
      <c r="B239" s="28">
        <v>70000</v>
      </c>
      <c r="C239" s="28">
        <v>98.31</v>
      </c>
      <c r="D239" s="28">
        <v>16025.28</v>
      </c>
    </row>
    <row r="240" spans="1:4" x14ac:dyDescent="0.25">
      <c r="A240" s="28" t="s">
        <v>734</v>
      </c>
      <c r="B240" s="28">
        <v>30000</v>
      </c>
      <c r="C240" s="28">
        <v>42.13</v>
      </c>
      <c r="D240" s="28">
        <v>6867.98</v>
      </c>
    </row>
    <row r="241" spans="1:4" x14ac:dyDescent="0.25">
      <c r="A241" s="28" t="s">
        <v>742</v>
      </c>
      <c r="B241" s="28">
        <v>12000</v>
      </c>
      <c r="C241" s="28">
        <v>16.85</v>
      </c>
      <c r="D241" s="28">
        <v>2747.19</v>
      </c>
    </row>
    <row r="242" spans="1:4" x14ac:dyDescent="0.25">
      <c r="A242" s="28" t="s">
        <v>746</v>
      </c>
      <c r="B242" s="28">
        <v>22000</v>
      </c>
      <c r="C242" s="28">
        <v>30.9</v>
      </c>
      <c r="D242" s="28">
        <v>5036.52</v>
      </c>
    </row>
    <row r="243" spans="1:4" x14ac:dyDescent="0.25">
      <c r="A243" s="28" t="s">
        <v>750</v>
      </c>
      <c r="B243" s="28">
        <v>35000</v>
      </c>
      <c r="C243" s="28">
        <v>49.16</v>
      </c>
      <c r="D243" s="28">
        <v>8012.64</v>
      </c>
    </row>
    <row r="244" spans="1:4" x14ac:dyDescent="0.25">
      <c r="A244" s="28" t="s">
        <v>760</v>
      </c>
      <c r="B244" s="28">
        <v>12000</v>
      </c>
      <c r="C244" s="28">
        <v>16.85</v>
      </c>
      <c r="D244" s="28">
        <v>2747.19</v>
      </c>
    </row>
    <row r="245" spans="1:4" x14ac:dyDescent="0.25">
      <c r="A245" s="28" t="s">
        <v>782</v>
      </c>
      <c r="B245" s="28">
        <v>55000</v>
      </c>
      <c r="C245" s="28">
        <v>77.25</v>
      </c>
      <c r="D245" s="28">
        <v>12591.29</v>
      </c>
    </row>
    <row r="246" spans="1:4" x14ac:dyDescent="0.25">
      <c r="A246" s="28" t="s">
        <v>784</v>
      </c>
      <c r="B246" s="28">
        <v>28500</v>
      </c>
      <c r="C246" s="28">
        <v>40.03</v>
      </c>
      <c r="D246" s="28">
        <v>6524.58</v>
      </c>
    </row>
    <row r="247" spans="1:4" x14ac:dyDescent="0.25">
      <c r="A247" s="28" t="s">
        <v>798</v>
      </c>
      <c r="B247" s="28">
        <v>452000</v>
      </c>
      <c r="C247" s="28">
        <v>634.83</v>
      </c>
      <c r="D247" s="28">
        <v>103477.53</v>
      </c>
    </row>
    <row r="248" spans="1:4" x14ac:dyDescent="0.25">
      <c r="A248" s="28" t="s">
        <v>800</v>
      </c>
      <c r="B248" s="28">
        <v>4009434.09</v>
      </c>
      <c r="C248" s="28">
        <v>5631.23</v>
      </c>
      <c r="D248" s="28">
        <v>917890.11</v>
      </c>
    </row>
    <row r="249" spans="1:4" x14ac:dyDescent="0.25">
      <c r="A249" s="28" t="s">
        <v>804</v>
      </c>
      <c r="B249" s="28">
        <v>2306234.64</v>
      </c>
      <c r="C249" s="28">
        <v>3239.09</v>
      </c>
      <c r="D249" s="28">
        <v>527972.26</v>
      </c>
    </row>
    <row r="250" spans="1:4" x14ac:dyDescent="0.25">
      <c r="A250" s="28" t="s">
        <v>810</v>
      </c>
      <c r="B250" s="28">
        <v>61588.56</v>
      </c>
      <c r="C250" s="28">
        <v>86.5</v>
      </c>
      <c r="D250" s="28">
        <v>14099.63</v>
      </c>
    </row>
    <row r="251" spans="1:4" x14ac:dyDescent="0.25">
      <c r="A251" s="28" t="s">
        <v>812</v>
      </c>
      <c r="B251" s="28">
        <v>2367823.2</v>
      </c>
      <c r="C251" s="28">
        <v>3325.59</v>
      </c>
      <c r="D251" s="28">
        <v>542071.88</v>
      </c>
    </row>
    <row r="252" spans="1:4" x14ac:dyDescent="0.25">
      <c r="A252" s="28" t="s">
        <v>820</v>
      </c>
      <c r="B252" s="28">
        <v>1641610.89</v>
      </c>
      <c r="C252" s="28">
        <v>2305.63</v>
      </c>
      <c r="D252" s="28">
        <v>375818.22</v>
      </c>
    </row>
    <row r="254" spans="1:1" x14ac:dyDescent="0.25">
      <c r="A254" s="38" t="s">
        <v>931</v>
      </c>
    </row>
    <row r="255" spans="1:4" x14ac:dyDescent="0.25">
      <c r="A255" s="38" t="s">
        <v>927</v>
      </c>
      <c r="B255" s="38" t="s">
        <v>932</v>
      </c>
      <c r="C255" s="38" t="s">
        <v>933</v>
      </c>
      <c r="D255" s="38" t="s">
        <v>934</v>
      </c>
    </row>
    <row r="256" spans="1:4" x14ac:dyDescent="0.25">
      <c r="A256" s="28" t="s">
        <v>40</v>
      </c>
      <c r="B256" s="28">
        <v>3318060</v>
      </c>
      <c r="C256" s="28" t="s">
        <v>45</v>
      </c>
      <c r="D256" s="28" t="s">
        <v>935</v>
      </c>
    </row>
    <row r="257" spans="1:4" x14ac:dyDescent="0.25">
      <c r="A257" s="28" t="s">
        <v>48</v>
      </c>
      <c r="B257" s="28">
        <v>-174001.2</v>
      </c>
      <c r="C257" s="28" t="s">
        <v>45</v>
      </c>
      <c r="D257" s="28" t="s">
        <v>936</v>
      </c>
    </row>
    <row r="258" spans="1:4" x14ac:dyDescent="0.25">
      <c r="A258" s="28" t="s">
        <v>57</v>
      </c>
      <c r="B258" s="28">
        <v>-9026.86</v>
      </c>
      <c r="C258" s="28" t="s">
        <v>45</v>
      </c>
      <c r="D258" s="28" t="s">
        <v>937</v>
      </c>
    </row>
    <row r="259" spans="1:4" x14ac:dyDescent="0.25">
      <c r="A259" s="28" t="s">
        <v>60</v>
      </c>
      <c r="B259" s="28">
        <v>-2309</v>
      </c>
      <c r="C259" s="28" t="s">
        <v>45</v>
      </c>
      <c r="D259" s="28" t="s">
        <v>938</v>
      </c>
    </row>
    <row r="260" spans="1:4" x14ac:dyDescent="0.25">
      <c r="A260" s="28" t="s">
        <v>62</v>
      </c>
      <c r="B260" s="28">
        <v>-718.33</v>
      </c>
      <c r="C260" s="28" t="s">
        <v>45</v>
      </c>
      <c r="D260" s="28" t="s">
        <v>939</v>
      </c>
    </row>
    <row r="261" spans="1:4" x14ac:dyDescent="0.25">
      <c r="A261" s="28" t="s">
        <v>68</v>
      </c>
      <c r="B261" s="28">
        <v>-2189.85</v>
      </c>
      <c r="C261" s="28" t="s">
        <v>45</v>
      </c>
      <c r="D261" s="28" t="s">
        <v>940</v>
      </c>
    </row>
    <row r="262" spans="1:4" x14ac:dyDescent="0.25">
      <c r="A262" s="28" t="s">
        <v>70</v>
      </c>
      <c r="B262" s="28">
        <v>-2346.26</v>
      </c>
      <c r="C262" s="28" t="s">
        <v>45</v>
      </c>
      <c r="D262" s="28" t="s">
        <v>941</v>
      </c>
    </row>
    <row r="263" spans="1:4" x14ac:dyDescent="0.25">
      <c r="A263" s="28" t="s">
        <v>80</v>
      </c>
      <c r="B263" s="28">
        <v>-165903</v>
      </c>
      <c r="C263" s="28" t="s">
        <v>45</v>
      </c>
      <c r="D263" s="28" t="s">
        <v>942</v>
      </c>
    </row>
    <row r="264" spans="1:4" x14ac:dyDescent="0.25">
      <c r="A264" s="28" t="s">
        <v>105</v>
      </c>
      <c r="B264" s="28">
        <v>3273.21</v>
      </c>
      <c r="C264" s="28" t="s">
        <v>45</v>
      </c>
      <c r="D264" s="28" t="s">
        <v>943</v>
      </c>
    </row>
    <row r="265" spans="1:4" x14ac:dyDescent="0.25">
      <c r="A265" s="28" t="s">
        <v>108</v>
      </c>
      <c r="B265" s="28">
        <v>2166.87</v>
      </c>
      <c r="C265" s="28" t="s">
        <v>45</v>
      </c>
      <c r="D265" s="28" t="s">
        <v>944</v>
      </c>
    </row>
    <row r="266" spans="1:4" x14ac:dyDescent="0.25">
      <c r="A266" s="28" t="s">
        <v>112</v>
      </c>
      <c r="B266" s="28">
        <v>1319.81</v>
      </c>
      <c r="C266" s="28" t="s">
        <v>45</v>
      </c>
      <c r="D266" s="28" t="s">
        <v>945</v>
      </c>
    </row>
    <row r="267" spans="1:4" x14ac:dyDescent="0.25">
      <c r="A267" s="28" t="s">
        <v>116</v>
      </c>
      <c r="B267" s="28">
        <v>6907.09</v>
      </c>
      <c r="C267" s="28" t="s">
        <v>45</v>
      </c>
      <c r="D267" s="28" t="s">
        <v>946</v>
      </c>
    </row>
    <row r="268" spans="1:4" x14ac:dyDescent="0.25">
      <c r="A268" s="28" t="s">
        <v>118</v>
      </c>
      <c r="B268" s="28">
        <v>104114.96</v>
      </c>
      <c r="C268" s="28" t="s">
        <v>45</v>
      </c>
      <c r="D268" s="28" t="s">
        <v>947</v>
      </c>
    </row>
    <row r="269" spans="1:4" x14ac:dyDescent="0.25">
      <c r="A269" s="28" t="s">
        <v>132</v>
      </c>
      <c r="B269" s="28">
        <v>2613.31</v>
      </c>
      <c r="C269" s="28" t="s">
        <v>45</v>
      </c>
      <c r="D269" s="28" t="s">
        <v>948</v>
      </c>
    </row>
    <row r="270" spans="1:4" x14ac:dyDescent="0.25">
      <c r="A270" s="28" t="s">
        <v>134</v>
      </c>
      <c r="B270" s="28">
        <v>1520.61</v>
      </c>
      <c r="C270" s="28" t="s">
        <v>45</v>
      </c>
      <c r="D270" s="28" t="s">
        <v>949</v>
      </c>
    </row>
    <row r="271" spans="1:4" x14ac:dyDescent="0.25">
      <c r="A271" s="28" t="s">
        <v>140</v>
      </c>
      <c r="B271" s="28">
        <v>637.49</v>
      </c>
      <c r="C271" s="28" t="s">
        <v>45</v>
      </c>
      <c r="D271" s="28" t="s">
        <v>950</v>
      </c>
    </row>
    <row r="272" spans="1:4" x14ac:dyDescent="0.25">
      <c r="A272" s="28" t="s">
        <v>144</v>
      </c>
      <c r="B272" s="28">
        <v>912.37</v>
      </c>
      <c r="C272" s="28" t="s">
        <v>45</v>
      </c>
      <c r="D272" s="28" t="s">
        <v>951</v>
      </c>
    </row>
    <row r="273" spans="1:4" x14ac:dyDescent="0.25">
      <c r="A273" s="28" t="s">
        <v>146</v>
      </c>
      <c r="B273" s="28">
        <v>7736.92</v>
      </c>
      <c r="C273" s="28" t="s">
        <v>45</v>
      </c>
      <c r="D273" s="28" t="s">
        <v>952</v>
      </c>
    </row>
    <row r="274" spans="1:4" x14ac:dyDescent="0.25">
      <c r="A274" s="28" t="s">
        <v>148</v>
      </c>
      <c r="B274" s="28">
        <v>321.67</v>
      </c>
      <c r="C274" s="28" t="s">
        <v>45</v>
      </c>
      <c r="D274" s="28" t="s">
        <v>953</v>
      </c>
    </row>
    <row r="275" spans="1:4" x14ac:dyDescent="0.25">
      <c r="A275" s="28" t="s">
        <v>154</v>
      </c>
      <c r="B275" s="28">
        <v>2432</v>
      </c>
      <c r="C275" s="28" t="s">
        <v>45</v>
      </c>
      <c r="D275" s="28" t="s">
        <v>954</v>
      </c>
    </row>
    <row r="276" spans="1:4" x14ac:dyDescent="0.25">
      <c r="A276" s="28" t="s">
        <v>156</v>
      </c>
      <c r="B276" s="28">
        <v>505.31</v>
      </c>
      <c r="C276" s="28" t="s">
        <v>45</v>
      </c>
      <c r="D276" s="28" t="s">
        <v>955</v>
      </c>
    </row>
    <row r="277" spans="1:4" x14ac:dyDescent="0.25">
      <c r="A277" s="28" t="s">
        <v>158</v>
      </c>
      <c r="B277" s="28">
        <v>12399.81</v>
      </c>
      <c r="C277" s="28" t="s">
        <v>45</v>
      </c>
      <c r="D277" s="28" t="s">
        <v>956</v>
      </c>
    </row>
    <row r="278" spans="1:4" x14ac:dyDescent="0.25">
      <c r="A278" s="28" t="s">
        <v>160</v>
      </c>
      <c r="B278" s="28">
        <v>285.61</v>
      </c>
      <c r="C278" s="28" t="s">
        <v>45</v>
      </c>
      <c r="D278" s="28" t="s">
        <v>957</v>
      </c>
    </row>
    <row r="279" spans="1:4" x14ac:dyDescent="0.25">
      <c r="A279" s="28" t="s">
        <v>164</v>
      </c>
      <c r="B279" s="28">
        <v>3347.05</v>
      </c>
      <c r="C279" s="28" t="s">
        <v>45</v>
      </c>
      <c r="D279" s="28" t="s">
        <v>958</v>
      </c>
    </row>
    <row r="280" spans="1:4" x14ac:dyDescent="0.25">
      <c r="A280" s="28" t="s">
        <v>166</v>
      </c>
      <c r="B280" s="28">
        <v>4016.95</v>
      </c>
      <c r="C280" s="28" t="s">
        <v>45</v>
      </c>
      <c r="D280" s="28" t="s">
        <v>959</v>
      </c>
    </row>
    <row r="281" spans="1:4" x14ac:dyDescent="0.25">
      <c r="A281" s="28" t="s">
        <v>170</v>
      </c>
      <c r="B281" s="28">
        <v>6305.66</v>
      </c>
      <c r="C281" s="28" t="s">
        <v>45</v>
      </c>
      <c r="D281" s="28" t="s">
        <v>960</v>
      </c>
    </row>
    <row r="282" spans="1:4" x14ac:dyDescent="0.25">
      <c r="A282" s="28" t="s">
        <v>180</v>
      </c>
      <c r="B282" s="28">
        <v>12600.61</v>
      </c>
      <c r="C282" s="28" t="s">
        <v>45</v>
      </c>
      <c r="D282" s="28" t="s">
        <v>961</v>
      </c>
    </row>
    <row r="283" spans="1:4" x14ac:dyDescent="0.25">
      <c r="A283" s="28" t="s">
        <v>182</v>
      </c>
      <c r="B283" s="28">
        <v>2807.28</v>
      </c>
      <c r="C283" s="28" t="s">
        <v>45</v>
      </c>
      <c r="D283" s="28" t="s">
        <v>962</v>
      </c>
    </row>
    <row r="284" spans="1:4" x14ac:dyDescent="0.25">
      <c r="A284" s="28" t="s">
        <v>184</v>
      </c>
      <c r="B284" s="28">
        <v>39107.38</v>
      </c>
      <c r="C284" s="28" t="s">
        <v>45</v>
      </c>
      <c r="D284" s="28" t="s">
        <v>963</v>
      </c>
    </row>
    <row r="285" spans="1:4" x14ac:dyDescent="0.25">
      <c r="A285" s="28" t="s">
        <v>187</v>
      </c>
      <c r="B285" s="28">
        <v>93.58</v>
      </c>
      <c r="C285" s="28" t="s">
        <v>45</v>
      </c>
      <c r="D285" s="28" t="s">
        <v>964</v>
      </c>
    </row>
    <row r="286" spans="1:4" x14ac:dyDescent="0.25">
      <c r="A286" s="28" t="s">
        <v>189</v>
      </c>
      <c r="B286" s="28">
        <v>25251.85</v>
      </c>
      <c r="C286" s="28" t="s">
        <v>45</v>
      </c>
      <c r="D286" s="28" t="s">
        <v>965</v>
      </c>
    </row>
    <row r="287" spans="1:4" x14ac:dyDescent="0.25">
      <c r="A287" s="28" t="s">
        <v>191</v>
      </c>
      <c r="B287" s="28">
        <v>14341.07</v>
      </c>
      <c r="C287" s="28" t="s">
        <v>45</v>
      </c>
      <c r="D287" s="28" t="s">
        <v>966</v>
      </c>
    </row>
    <row r="288" spans="1:4" x14ac:dyDescent="0.25">
      <c r="A288" s="28" t="s">
        <v>193</v>
      </c>
      <c r="B288" s="28">
        <v>24675.5</v>
      </c>
      <c r="C288" s="28" t="s">
        <v>45</v>
      </c>
      <c r="D288" s="28" t="s">
        <v>967</v>
      </c>
    </row>
    <row r="289" spans="1:4" x14ac:dyDescent="0.25">
      <c r="A289" s="28" t="s">
        <v>195</v>
      </c>
      <c r="B289" s="28">
        <v>494.02</v>
      </c>
      <c r="C289" s="28" t="s">
        <v>45</v>
      </c>
      <c r="D289" s="28" t="s">
        <v>968</v>
      </c>
    </row>
    <row r="290" spans="1:4" x14ac:dyDescent="0.25">
      <c r="A290" s="28" t="s">
        <v>197</v>
      </c>
      <c r="B290" s="28">
        <v>36186.85</v>
      </c>
      <c r="C290" s="28" t="s">
        <v>45</v>
      </c>
      <c r="D290" s="28" t="s">
        <v>969</v>
      </c>
    </row>
    <row r="291" spans="1:4" x14ac:dyDescent="0.25">
      <c r="A291" s="28" t="s">
        <v>201</v>
      </c>
      <c r="B291" s="28">
        <v>516.39</v>
      </c>
      <c r="C291" s="28" t="s">
        <v>45</v>
      </c>
      <c r="D291" s="28" t="s">
        <v>970</v>
      </c>
    </row>
    <row r="292" spans="1:4" x14ac:dyDescent="0.25">
      <c r="A292" s="28" t="s">
        <v>203</v>
      </c>
      <c r="B292" s="28">
        <v>4482.17</v>
      </c>
      <c r="C292" s="28" t="s">
        <v>45</v>
      </c>
      <c r="D292" s="28" t="s">
        <v>971</v>
      </c>
    </row>
    <row r="293" spans="1:4" x14ac:dyDescent="0.25">
      <c r="A293" s="28" t="s">
        <v>207</v>
      </c>
      <c r="B293" s="28">
        <v>22794.56</v>
      </c>
      <c r="C293" s="28" t="s">
        <v>45</v>
      </c>
      <c r="D293" s="28" t="s">
        <v>972</v>
      </c>
    </row>
    <row r="294" spans="1:4" x14ac:dyDescent="0.25">
      <c r="A294" s="28" t="s">
        <v>211</v>
      </c>
      <c r="B294" s="28">
        <v>10683.57</v>
      </c>
      <c r="C294" s="28" t="s">
        <v>45</v>
      </c>
      <c r="D294" s="28" t="s">
        <v>973</v>
      </c>
    </row>
    <row r="295" spans="1:4" x14ac:dyDescent="0.25">
      <c r="A295" s="28" t="s">
        <v>225</v>
      </c>
      <c r="B295" s="28">
        <v>2509.75</v>
      </c>
      <c r="C295" s="28" t="s">
        <v>45</v>
      </c>
      <c r="D295" s="28" t="s">
        <v>974</v>
      </c>
    </row>
    <row r="296" spans="1:4" x14ac:dyDescent="0.25">
      <c r="A296" s="28" t="s">
        <v>228</v>
      </c>
      <c r="B296" s="28">
        <v>856.9</v>
      </c>
      <c r="C296" s="28" t="s">
        <v>45</v>
      </c>
      <c r="D296" s="28" t="s">
        <v>975</v>
      </c>
    </row>
    <row r="297" spans="1:4" x14ac:dyDescent="0.25">
      <c r="A297" s="28" t="s">
        <v>230</v>
      </c>
      <c r="B297" s="28">
        <v>46455</v>
      </c>
      <c r="C297" s="28" t="s">
        <v>45</v>
      </c>
      <c r="D297" s="28" t="s">
        <v>976</v>
      </c>
    </row>
    <row r="298" spans="1:4" x14ac:dyDescent="0.25">
      <c r="A298" s="28" t="s">
        <v>235</v>
      </c>
      <c r="B298" s="28">
        <v>98702.95</v>
      </c>
      <c r="C298" s="28" t="s">
        <v>45</v>
      </c>
      <c r="D298" s="28" t="s">
        <v>977</v>
      </c>
    </row>
    <row r="299" spans="1:4" x14ac:dyDescent="0.25">
      <c r="A299" s="28" t="s">
        <v>242</v>
      </c>
      <c r="B299" s="28">
        <v>317725</v>
      </c>
      <c r="C299" s="28" t="s">
        <v>45</v>
      </c>
      <c r="D299" s="28" t="s">
        <v>978</v>
      </c>
    </row>
    <row r="300" spans="1:4" x14ac:dyDescent="0.25">
      <c r="A300" s="28" t="s">
        <v>259</v>
      </c>
      <c r="B300" s="28">
        <v>656.98</v>
      </c>
      <c r="C300" s="28" t="s">
        <v>45</v>
      </c>
      <c r="D300" s="28" t="s">
        <v>979</v>
      </c>
    </row>
    <row r="301" spans="1:4" x14ac:dyDescent="0.25">
      <c r="A301" s="28" t="s">
        <v>261</v>
      </c>
      <c r="B301" s="28">
        <v>778.56</v>
      </c>
      <c r="C301" s="28" t="s">
        <v>45</v>
      </c>
      <c r="D301" s="28" t="s">
        <v>980</v>
      </c>
    </row>
    <row r="302" spans="1:4" x14ac:dyDescent="0.25">
      <c r="A302" s="28" t="s">
        <v>263</v>
      </c>
      <c r="B302" s="28">
        <v>1329.34</v>
      </c>
      <c r="C302" s="28" t="s">
        <v>45</v>
      </c>
      <c r="D302" s="28" t="s">
        <v>981</v>
      </c>
    </row>
    <row r="303" spans="1:4" x14ac:dyDescent="0.25">
      <c r="A303" s="28" t="s">
        <v>265</v>
      </c>
      <c r="B303" s="28">
        <v>996.85</v>
      </c>
      <c r="C303" s="28" t="s">
        <v>45</v>
      </c>
      <c r="D303" s="28" t="s">
        <v>982</v>
      </c>
    </row>
    <row r="304" spans="1:4" x14ac:dyDescent="0.25">
      <c r="A304" s="28" t="s">
        <v>267</v>
      </c>
      <c r="B304" s="28">
        <v>6653.28</v>
      </c>
      <c r="C304" s="28" t="s">
        <v>45</v>
      </c>
      <c r="D304" s="28" t="s">
        <v>983</v>
      </c>
    </row>
    <row r="305" spans="1:4" x14ac:dyDescent="0.25">
      <c r="A305" s="28" t="s">
        <v>269</v>
      </c>
      <c r="B305" s="28">
        <v>7922.58</v>
      </c>
      <c r="C305" s="28" t="s">
        <v>45</v>
      </c>
      <c r="D305" s="28" t="s">
        <v>984</v>
      </c>
    </row>
    <row r="306" spans="1:4" x14ac:dyDescent="0.25">
      <c r="A306" s="28" t="s">
        <v>271</v>
      </c>
      <c r="B306" s="28">
        <v>1612.64</v>
      </c>
      <c r="C306" s="28" t="s">
        <v>45</v>
      </c>
      <c r="D306" s="28" t="s">
        <v>985</v>
      </c>
    </row>
    <row r="307" spans="1:4" x14ac:dyDescent="0.25">
      <c r="A307" s="28" t="s">
        <v>275</v>
      </c>
      <c r="B307" s="28">
        <v>23.65</v>
      </c>
      <c r="C307" s="28" t="s">
        <v>45</v>
      </c>
      <c r="D307" s="28" t="s">
        <v>986</v>
      </c>
    </row>
    <row r="308" spans="1:4" x14ac:dyDescent="0.25">
      <c r="A308" s="28" t="s">
        <v>277</v>
      </c>
      <c r="B308" s="28">
        <v>341.83</v>
      </c>
      <c r="C308" s="28" t="s">
        <v>45</v>
      </c>
      <c r="D308" s="28" t="s">
        <v>987</v>
      </c>
    </row>
    <row r="309" spans="1:4" x14ac:dyDescent="0.25">
      <c r="A309" s="28" t="s">
        <v>279</v>
      </c>
      <c r="B309" s="28">
        <v>162.22</v>
      </c>
      <c r="C309" s="28" t="s">
        <v>45</v>
      </c>
      <c r="D309" s="28" t="s">
        <v>988</v>
      </c>
    </row>
    <row r="310" spans="1:4" x14ac:dyDescent="0.25">
      <c r="A310" s="28" t="s">
        <v>281</v>
      </c>
      <c r="B310" s="28">
        <v>3713.21</v>
      </c>
      <c r="C310" s="28" t="s">
        <v>45</v>
      </c>
      <c r="D310" s="28" t="s">
        <v>989</v>
      </c>
    </row>
    <row r="311" spans="1:4" x14ac:dyDescent="0.25">
      <c r="A311" s="28" t="s">
        <v>285</v>
      </c>
      <c r="B311" s="28">
        <v>948.67</v>
      </c>
      <c r="C311" s="28" t="s">
        <v>45</v>
      </c>
      <c r="D311" s="28" t="s">
        <v>990</v>
      </c>
    </row>
    <row r="312" spans="1:4" x14ac:dyDescent="0.25">
      <c r="A312" s="28" t="s">
        <v>287</v>
      </c>
      <c r="B312" s="28">
        <v>278.51</v>
      </c>
      <c r="C312" s="28" t="s">
        <v>45</v>
      </c>
      <c r="D312" s="28" t="s">
        <v>991</v>
      </c>
    </row>
    <row r="313" spans="1:4" x14ac:dyDescent="0.25">
      <c r="A313" s="28" t="s">
        <v>289</v>
      </c>
      <c r="B313" s="28">
        <v>29.74</v>
      </c>
      <c r="C313" s="28" t="s">
        <v>45</v>
      </c>
      <c r="D313" s="28" t="s">
        <v>992</v>
      </c>
    </row>
    <row r="314" spans="1:4" x14ac:dyDescent="0.25">
      <c r="A314" s="28" t="s">
        <v>299</v>
      </c>
      <c r="B314" s="28">
        <v>475.24</v>
      </c>
      <c r="C314" s="28" t="s">
        <v>45</v>
      </c>
      <c r="D314" s="28" t="s">
        <v>993</v>
      </c>
    </row>
    <row r="315" spans="1:4" x14ac:dyDescent="0.25">
      <c r="A315" s="28" t="s">
        <v>301</v>
      </c>
      <c r="B315" s="28">
        <v>162.24</v>
      </c>
      <c r="C315" s="28" t="s">
        <v>45</v>
      </c>
      <c r="D315" s="28" t="s">
        <v>988</v>
      </c>
    </row>
    <row r="316" spans="1:4" x14ac:dyDescent="0.25">
      <c r="A316" s="28" t="s">
        <v>303</v>
      </c>
      <c r="B316" s="28">
        <v>1338.23</v>
      </c>
      <c r="C316" s="28" t="s">
        <v>45</v>
      </c>
      <c r="D316" s="28" t="s">
        <v>994</v>
      </c>
    </row>
    <row r="317" spans="1:4" x14ac:dyDescent="0.25">
      <c r="A317" s="28" t="s">
        <v>305</v>
      </c>
      <c r="B317" s="28">
        <v>1282.48</v>
      </c>
      <c r="C317" s="28" t="s">
        <v>45</v>
      </c>
      <c r="D317" s="28" t="s">
        <v>995</v>
      </c>
    </row>
    <row r="318" spans="1:4" x14ac:dyDescent="0.25">
      <c r="A318" s="28" t="s">
        <v>307</v>
      </c>
      <c r="B318" s="28">
        <v>89.22</v>
      </c>
      <c r="C318" s="28" t="s">
        <v>45</v>
      </c>
      <c r="D318" s="28" t="s">
        <v>996</v>
      </c>
    </row>
    <row r="319" spans="1:4" x14ac:dyDescent="0.25">
      <c r="A319" s="28" t="s">
        <v>317</v>
      </c>
      <c r="B319" s="28">
        <v>125.7</v>
      </c>
      <c r="C319" s="28" t="s">
        <v>45</v>
      </c>
      <c r="D319" s="28" t="s">
        <v>997</v>
      </c>
    </row>
    <row r="320" spans="1:4" x14ac:dyDescent="0.25">
      <c r="A320" s="28" t="s">
        <v>319</v>
      </c>
      <c r="B320" s="28">
        <v>2209.2</v>
      </c>
      <c r="C320" s="28" t="s">
        <v>45</v>
      </c>
      <c r="D320" s="28" t="s">
        <v>998</v>
      </c>
    </row>
    <row r="321" spans="1:4" x14ac:dyDescent="0.25">
      <c r="A321" s="28" t="s">
        <v>321</v>
      </c>
      <c r="B321" s="28">
        <v>5580.98</v>
      </c>
      <c r="C321" s="28" t="s">
        <v>45</v>
      </c>
      <c r="D321" s="28" t="s">
        <v>999</v>
      </c>
    </row>
    <row r="322" spans="1:4" x14ac:dyDescent="0.25">
      <c r="A322" s="28" t="s">
        <v>337</v>
      </c>
      <c r="B322" s="28">
        <v>264.29</v>
      </c>
      <c r="C322" s="28" t="s">
        <v>45</v>
      </c>
      <c r="D322" s="28" t="s">
        <v>1000</v>
      </c>
    </row>
    <row r="323" spans="1:4" x14ac:dyDescent="0.25">
      <c r="A323" s="28" t="s">
        <v>365</v>
      </c>
      <c r="B323" s="28">
        <v>125983.23</v>
      </c>
      <c r="C323" s="28" t="s">
        <v>45</v>
      </c>
      <c r="D323" s="28" t="s">
        <v>1001</v>
      </c>
    </row>
    <row r="324" spans="1:4" x14ac:dyDescent="0.25">
      <c r="A324" s="28" t="s">
        <v>368</v>
      </c>
      <c r="B324" s="28">
        <v>160113.49</v>
      </c>
      <c r="C324" s="28" t="s">
        <v>45</v>
      </c>
      <c r="D324" s="28" t="s">
        <v>1001</v>
      </c>
    </row>
    <row r="325" spans="1:4" x14ac:dyDescent="0.25">
      <c r="A325" s="28" t="s">
        <v>374</v>
      </c>
      <c r="B325" s="28">
        <v>10950.95</v>
      </c>
      <c r="C325" s="28" t="s">
        <v>45</v>
      </c>
      <c r="D325" s="28" t="s">
        <v>1002</v>
      </c>
    </row>
    <row r="326" spans="1:4" x14ac:dyDescent="0.25">
      <c r="A326" s="28" t="s">
        <v>377</v>
      </c>
      <c r="B326" s="28">
        <v>22774.95</v>
      </c>
      <c r="C326" s="28" t="s">
        <v>45</v>
      </c>
      <c r="D326" s="28" t="s">
        <v>1003</v>
      </c>
    </row>
    <row r="327" spans="1:4" x14ac:dyDescent="0.25">
      <c r="A327" s="28" t="s">
        <v>380</v>
      </c>
      <c r="B327" s="28">
        <v>18752.78</v>
      </c>
      <c r="C327" s="28" t="s">
        <v>45</v>
      </c>
      <c r="D327" s="28" t="s">
        <v>1004</v>
      </c>
    </row>
    <row r="328" spans="1:4" x14ac:dyDescent="0.25">
      <c r="A328" s="28" t="s">
        <v>383</v>
      </c>
      <c r="B328" s="28">
        <v>9147.01</v>
      </c>
      <c r="C328" s="28" t="s">
        <v>45</v>
      </c>
      <c r="D328" s="28" t="s">
        <v>1005</v>
      </c>
    </row>
    <row r="329" spans="1:4" x14ac:dyDescent="0.25">
      <c r="A329" s="28" t="s">
        <v>390</v>
      </c>
      <c r="B329" s="28">
        <v>1729.83</v>
      </c>
      <c r="C329" s="28" t="s">
        <v>45</v>
      </c>
      <c r="D329" s="28" t="s">
        <v>1006</v>
      </c>
    </row>
    <row r="330" spans="1:4" x14ac:dyDescent="0.25">
      <c r="A330" s="28" t="s">
        <v>393</v>
      </c>
      <c r="B330" s="28">
        <v>27659.65</v>
      </c>
      <c r="C330" s="28" t="s">
        <v>45</v>
      </c>
      <c r="D330" s="28" t="s">
        <v>1007</v>
      </c>
    </row>
    <row r="331" spans="1:4" x14ac:dyDescent="0.25">
      <c r="A331" s="28" t="s">
        <v>396</v>
      </c>
      <c r="B331" s="28">
        <v>2810.93</v>
      </c>
      <c r="C331" s="28" t="s">
        <v>45</v>
      </c>
      <c r="D331" s="28" t="s">
        <v>1008</v>
      </c>
    </row>
    <row r="332" spans="1:4" x14ac:dyDescent="0.25">
      <c r="A332" s="28" t="s">
        <v>399</v>
      </c>
      <c r="B332" s="28">
        <v>9616.5</v>
      </c>
      <c r="C332" s="28" t="s">
        <v>45</v>
      </c>
      <c r="D332" s="28" t="s">
        <v>1009</v>
      </c>
    </row>
    <row r="333" spans="1:4" x14ac:dyDescent="0.25">
      <c r="A333" s="28" t="s">
        <v>402</v>
      </c>
      <c r="B333" s="28">
        <v>43278.41</v>
      </c>
      <c r="C333" s="28" t="s">
        <v>45</v>
      </c>
      <c r="D333" s="28" t="s">
        <v>1010</v>
      </c>
    </row>
    <row r="334" spans="1:4" x14ac:dyDescent="0.25">
      <c r="A334" s="28" t="s">
        <v>405</v>
      </c>
      <c r="B334" s="28">
        <v>183.52</v>
      </c>
      <c r="C334" s="28" t="s">
        <v>45</v>
      </c>
      <c r="D334" s="28" t="s">
        <v>1011</v>
      </c>
    </row>
    <row r="335" spans="1:4" x14ac:dyDescent="0.25">
      <c r="A335" s="28" t="s">
        <v>416</v>
      </c>
      <c r="B335" s="28">
        <v>4803.85</v>
      </c>
      <c r="C335" s="28" t="s">
        <v>45</v>
      </c>
      <c r="D335" s="28" t="s">
        <v>1012</v>
      </c>
    </row>
    <row r="336" spans="1:4" x14ac:dyDescent="0.25">
      <c r="A336" s="28" t="s">
        <v>419</v>
      </c>
      <c r="B336" s="28">
        <v>3800.21</v>
      </c>
      <c r="C336" s="28" t="s">
        <v>45</v>
      </c>
      <c r="D336" s="28" t="s">
        <v>1013</v>
      </c>
    </row>
    <row r="337" spans="1:4" x14ac:dyDescent="0.25">
      <c r="A337" s="28" t="s">
        <v>427</v>
      </c>
      <c r="B337" s="28">
        <v>904.05</v>
      </c>
      <c r="C337" s="28" t="s">
        <v>45</v>
      </c>
      <c r="D337" s="28" t="s">
        <v>1014</v>
      </c>
    </row>
    <row r="338" spans="1:4" x14ac:dyDescent="0.25">
      <c r="A338" s="28" t="s">
        <v>429</v>
      </c>
      <c r="B338" s="28">
        <v>373.07</v>
      </c>
      <c r="C338" s="28" t="s">
        <v>45</v>
      </c>
      <c r="D338" s="28" t="s">
        <v>1015</v>
      </c>
    </row>
    <row r="339" spans="1:4" x14ac:dyDescent="0.25">
      <c r="A339" s="28" t="s">
        <v>431</v>
      </c>
      <c r="B339" s="28">
        <v>179.15</v>
      </c>
      <c r="C339" s="28" t="s">
        <v>45</v>
      </c>
      <c r="D339" s="28" t="s">
        <v>1016</v>
      </c>
    </row>
    <row r="340" spans="1:4" x14ac:dyDescent="0.25">
      <c r="A340" s="28" t="s">
        <v>435</v>
      </c>
      <c r="B340" s="28">
        <v>36.37</v>
      </c>
      <c r="C340" s="28" t="s">
        <v>45</v>
      </c>
      <c r="D340" s="28" t="s">
        <v>1017</v>
      </c>
    </row>
    <row r="341" spans="1:4" x14ac:dyDescent="0.25">
      <c r="A341" s="28" t="s">
        <v>437</v>
      </c>
      <c r="B341" s="28">
        <v>167.88</v>
      </c>
      <c r="C341" s="28" t="s">
        <v>45</v>
      </c>
      <c r="D341" s="28" t="s">
        <v>1018</v>
      </c>
    </row>
    <row r="342" spans="1:4" x14ac:dyDescent="0.25">
      <c r="A342" s="28" t="s">
        <v>439</v>
      </c>
      <c r="B342" s="28">
        <v>924.31</v>
      </c>
      <c r="C342" s="28" t="s">
        <v>45</v>
      </c>
      <c r="D342" s="28" t="s">
        <v>1019</v>
      </c>
    </row>
    <row r="343" spans="1:4" x14ac:dyDescent="0.25">
      <c r="A343" s="28" t="s">
        <v>445</v>
      </c>
      <c r="B343" s="28">
        <v>2776.21</v>
      </c>
      <c r="C343" s="28" t="s">
        <v>45</v>
      </c>
      <c r="D343" s="28" t="s">
        <v>1020</v>
      </c>
    </row>
    <row r="344" spans="1:4" x14ac:dyDescent="0.25">
      <c r="A344" s="28" t="s">
        <v>447</v>
      </c>
      <c r="B344" s="28">
        <v>1400.99</v>
      </c>
      <c r="C344" s="28" t="s">
        <v>45</v>
      </c>
      <c r="D344" s="28" t="s">
        <v>1021</v>
      </c>
    </row>
    <row r="345" spans="1:4" x14ac:dyDescent="0.25">
      <c r="A345" s="28" t="s">
        <v>449</v>
      </c>
      <c r="B345" s="28">
        <v>2143.83</v>
      </c>
      <c r="C345" s="28" t="s">
        <v>45</v>
      </c>
      <c r="D345" s="28" t="s">
        <v>1022</v>
      </c>
    </row>
    <row r="346" spans="1:4" x14ac:dyDescent="0.25">
      <c r="A346" s="28" t="s">
        <v>451</v>
      </c>
      <c r="B346" s="28">
        <v>240.75</v>
      </c>
      <c r="C346" s="28" t="s">
        <v>45</v>
      </c>
      <c r="D346" s="28" t="s">
        <v>1023</v>
      </c>
    </row>
    <row r="347" spans="1:4" x14ac:dyDescent="0.25">
      <c r="A347" s="28" t="s">
        <v>461</v>
      </c>
      <c r="B347" s="28">
        <v>1072.14</v>
      </c>
      <c r="C347" s="28" t="s">
        <v>45</v>
      </c>
      <c r="D347" s="28" t="s">
        <v>1024</v>
      </c>
    </row>
    <row r="348" spans="1:4" x14ac:dyDescent="0.25">
      <c r="A348" s="28" t="s">
        <v>464</v>
      </c>
      <c r="B348" s="28">
        <v>45792.5</v>
      </c>
      <c r="C348" s="28" t="s">
        <v>45</v>
      </c>
      <c r="D348" s="28" t="s">
        <v>1025</v>
      </c>
    </row>
    <row r="349" spans="1:4" x14ac:dyDescent="0.25">
      <c r="A349" s="28" t="s">
        <v>468</v>
      </c>
      <c r="B349" s="28">
        <v>3555.55</v>
      </c>
      <c r="C349" s="28" t="s">
        <v>45</v>
      </c>
      <c r="D349" s="28" t="s">
        <v>1026</v>
      </c>
    </row>
    <row r="350" spans="1:4" x14ac:dyDescent="0.25">
      <c r="A350" s="28" t="s">
        <v>472</v>
      </c>
      <c r="B350" s="28">
        <v>25213.71</v>
      </c>
      <c r="C350" s="28" t="s">
        <v>45</v>
      </c>
      <c r="D350" s="28" t="s">
        <v>1027</v>
      </c>
    </row>
    <row r="351" spans="1:4" x14ac:dyDescent="0.25">
      <c r="A351" s="28" t="s">
        <v>480</v>
      </c>
      <c r="B351" s="28">
        <v>39152.7</v>
      </c>
      <c r="C351" s="28" t="s">
        <v>45</v>
      </c>
      <c r="D351" s="28" t="s">
        <v>1028</v>
      </c>
    </row>
    <row r="352" spans="1:4" x14ac:dyDescent="0.25">
      <c r="A352" s="28" t="s">
        <v>484</v>
      </c>
      <c r="B352" s="28">
        <v>1360.79</v>
      </c>
      <c r="C352" s="28" t="s">
        <v>45</v>
      </c>
      <c r="D352" s="28" t="s">
        <v>1029</v>
      </c>
    </row>
    <row r="353" spans="1:4" x14ac:dyDescent="0.25">
      <c r="A353" s="28" t="s">
        <v>488</v>
      </c>
      <c r="B353" s="28">
        <v>7363.19</v>
      </c>
      <c r="C353" s="28" t="s">
        <v>45</v>
      </c>
      <c r="D353" s="28" t="s">
        <v>1030</v>
      </c>
    </row>
    <row r="354" spans="1:4" x14ac:dyDescent="0.25">
      <c r="A354" s="28" t="s">
        <v>490</v>
      </c>
      <c r="B354" s="28">
        <v>3661.32</v>
      </c>
      <c r="C354" s="28" t="s">
        <v>45</v>
      </c>
      <c r="D354" s="28" t="s">
        <v>1031</v>
      </c>
    </row>
    <row r="355" spans="1:4" x14ac:dyDescent="0.25">
      <c r="A355" s="28" t="s">
        <v>492</v>
      </c>
      <c r="B355" s="28">
        <v>24441.05</v>
      </c>
      <c r="C355" s="28" t="s">
        <v>45</v>
      </c>
      <c r="D355" s="28" t="s">
        <v>1032</v>
      </c>
    </row>
    <row r="356" spans="1:4" x14ac:dyDescent="0.25">
      <c r="A356" s="28" t="s">
        <v>496</v>
      </c>
      <c r="B356" s="28">
        <v>36895.61</v>
      </c>
      <c r="C356" s="28" t="s">
        <v>45</v>
      </c>
      <c r="D356" s="28" t="s">
        <v>1033</v>
      </c>
    </row>
    <row r="357" spans="1:4" x14ac:dyDescent="0.25">
      <c r="A357" s="28" t="s">
        <v>512</v>
      </c>
      <c r="B357" s="28">
        <v>2021.64</v>
      </c>
      <c r="C357" s="28" t="s">
        <v>45</v>
      </c>
      <c r="D357" s="28" t="s">
        <v>1034</v>
      </c>
    </row>
    <row r="358" spans="1:4" x14ac:dyDescent="0.25">
      <c r="A358" s="28" t="s">
        <v>515</v>
      </c>
      <c r="B358" s="28">
        <v>615.78</v>
      </c>
      <c r="C358" s="28" t="s">
        <v>45</v>
      </c>
      <c r="D358" s="28" t="s">
        <v>1035</v>
      </c>
    </row>
    <row r="359" spans="1:4" x14ac:dyDescent="0.25">
      <c r="A359" s="28" t="s">
        <v>519</v>
      </c>
      <c r="B359" s="28">
        <v>421.35</v>
      </c>
      <c r="C359" s="28" t="s">
        <v>45</v>
      </c>
      <c r="D359" s="28" t="s">
        <v>1036</v>
      </c>
    </row>
    <row r="360" spans="1:4" x14ac:dyDescent="0.25">
      <c r="A360" s="28" t="s">
        <v>521</v>
      </c>
      <c r="B360" s="28">
        <v>1675.91</v>
      </c>
      <c r="C360" s="28" t="s">
        <v>45</v>
      </c>
      <c r="D360" s="28" t="s">
        <v>1037</v>
      </c>
    </row>
    <row r="361" spans="1:4" x14ac:dyDescent="0.25">
      <c r="A361" s="28" t="s">
        <v>523</v>
      </c>
      <c r="B361" s="28">
        <v>297.55</v>
      </c>
      <c r="C361" s="28" t="s">
        <v>45</v>
      </c>
      <c r="D361" s="28" t="s">
        <v>1038</v>
      </c>
    </row>
    <row r="362" spans="1:4" x14ac:dyDescent="0.25">
      <c r="A362" s="28" t="s">
        <v>529</v>
      </c>
      <c r="B362" s="28">
        <v>1089.58</v>
      </c>
      <c r="C362" s="28" t="s">
        <v>45</v>
      </c>
      <c r="D362" s="28" t="s">
        <v>1039</v>
      </c>
    </row>
    <row r="363" spans="1:4" x14ac:dyDescent="0.25">
      <c r="A363" s="28" t="s">
        <v>531</v>
      </c>
      <c r="B363" s="28">
        <v>1585.48</v>
      </c>
      <c r="C363" s="28" t="s">
        <v>45</v>
      </c>
      <c r="D363" s="28" t="s">
        <v>1040</v>
      </c>
    </row>
    <row r="364" spans="1:4" x14ac:dyDescent="0.25">
      <c r="A364" s="28" t="s">
        <v>533</v>
      </c>
      <c r="B364" s="28">
        <v>2544.24</v>
      </c>
      <c r="C364" s="28" t="s">
        <v>45</v>
      </c>
      <c r="D364" s="28" t="s">
        <v>1041</v>
      </c>
    </row>
    <row r="365" spans="1:4" x14ac:dyDescent="0.25">
      <c r="A365" s="28" t="s">
        <v>535</v>
      </c>
      <c r="B365" s="28">
        <v>767.01</v>
      </c>
      <c r="C365" s="28" t="s">
        <v>45</v>
      </c>
      <c r="D365" s="28" t="s">
        <v>1042</v>
      </c>
    </row>
    <row r="366" spans="1:4" x14ac:dyDescent="0.25">
      <c r="A366" s="28" t="s">
        <v>537</v>
      </c>
      <c r="B366" s="28">
        <v>2540.76</v>
      </c>
      <c r="C366" s="28" t="s">
        <v>45</v>
      </c>
      <c r="D366" s="28" t="s">
        <v>1043</v>
      </c>
    </row>
    <row r="367" spans="1:4" x14ac:dyDescent="0.25">
      <c r="A367" s="28" t="s">
        <v>539</v>
      </c>
      <c r="B367" s="28">
        <v>2827.87</v>
      </c>
      <c r="C367" s="28" t="s">
        <v>45</v>
      </c>
      <c r="D367" s="28" t="s">
        <v>1044</v>
      </c>
    </row>
    <row r="368" spans="1:4" x14ac:dyDescent="0.25">
      <c r="A368" s="28" t="s">
        <v>541</v>
      </c>
      <c r="B368" s="28">
        <v>3243.82</v>
      </c>
      <c r="C368" s="28" t="s">
        <v>45</v>
      </c>
      <c r="D368" s="28" t="s">
        <v>1045</v>
      </c>
    </row>
    <row r="369" spans="1:4" x14ac:dyDescent="0.25">
      <c r="A369" s="28" t="s">
        <v>543</v>
      </c>
      <c r="B369" s="28">
        <v>983.76</v>
      </c>
      <c r="C369" s="28" t="s">
        <v>45</v>
      </c>
      <c r="D369" s="28" t="s">
        <v>1046</v>
      </c>
    </row>
    <row r="370" spans="1:4" x14ac:dyDescent="0.25">
      <c r="A370" s="28" t="s">
        <v>545</v>
      </c>
      <c r="B370" s="28">
        <v>270.12</v>
      </c>
      <c r="C370" s="28" t="s">
        <v>45</v>
      </c>
      <c r="D370" s="28" t="s">
        <v>1047</v>
      </c>
    </row>
    <row r="371" spans="1:4" x14ac:dyDescent="0.25">
      <c r="A371" s="28" t="s">
        <v>547</v>
      </c>
      <c r="B371" s="28">
        <v>2151.32</v>
      </c>
      <c r="C371" s="28" t="s">
        <v>45</v>
      </c>
      <c r="D371" s="28" t="s">
        <v>1048</v>
      </c>
    </row>
    <row r="372" spans="1:4" x14ac:dyDescent="0.25">
      <c r="A372" s="28" t="s">
        <v>549</v>
      </c>
      <c r="B372" s="28">
        <v>468.09</v>
      </c>
      <c r="C372" s="28" t="s">
        <v>45</v>
      </c>
      <c r="D372" s="28" t="s">
        <v>1049</v>
      </c>
    </row>
    <row r="373" spans="1:4" x14ac:dyDescent="0.25">
      <c r="A373" s="28" t="s">
        <v>551</v>
      </c>
      <c r="B373" s="28">
        <v>40.51</v>
      </c>
      <c r="C373" s="28" t="s">
        <v>45</v>
      </c>
      <c r="D373" s="28" t="s">
        <v>1050</v>
      </c>
    </row>
    <row r="374" spans="1:4" x14ac:dyDescent="0.25">
      <c r="A374" s="28" t="s">
        <v>553</v>
      </c>
      <c r="B374" s="28">
        <v>686.05</v>
      </c>
      <c r="C374" s="28" t="s">
        <v>45</v>
      </c>
      <c r="D374" s="28" t="s">
        <v>1051</v>
      </c>
    </row>
    <row r="375" spans="1:4" x14ac:dyDescent="0.25">
      <c r="A375" s="28" t="s">
        <v>561</v>
      </c>
      <c r="B375" s="28">
        <v>377.76</v>
      </c>
      <c r="C375" s="28" t="s">
        <v>45</v>
      </c>
      <c r="D375" s="28" t="s">
        <v>1052</v>
      </c>
    </row>
    <row r="376" spans="1:4" x14ac:dyDescent="0.25">
      <c r="A376" s="28" t="s">
        <v>569</v>
      </c>
      <c r="B376" s="28">
        <v>1000.7</v>
      </c>
      <c r="C376" s="28" t="s">
        <v>45</v>
      </c>
      <c r="D376" s="28" t="s">
        <v>1053</v>
      </c>
    </row>
    <row r="377" spans="1:4" x14ac:dyDescent="0.25">
      <c r="A377" s="28" t="s">
        <v>575</v>
      </c>
      <c r="B377" s="28">
        <v>421.33</v>
      </c>
      <c r="C377" s="28" t="s">
        <v>45</v>
      </c>
      <c r="D377" s="28" t="s">
        <v>1036</v>
      </c>
    </row>
    <row r="378" spans="1:4" x14ac:dyDescent="0.25">
      <c r="A378" s="28" t="s">
        <v>577</v>
      </c>
      <c r="B378" s="28">
        <v>1157.36</v>
      </c>
      <c r="C378" s="28" t="s">
        <v>45</v>
      </c>
      <c r="D378" s="28" t="s">
        <v>1054</v>
      </c>
    </row>
    <row r="379" spans="1:4" x14ac:dyDescent="0.25">
      <c r="A379" s="28" t="s">
        <v>583</v>
      </c>
      <c r="B379" s="28">
        <v>97.2</v>
      </c>
      <c r="C379" s="28" t="s">
        <v>45</v>
      </c>
      <c r="D379" s="28" t="s">
        <v>1055</v>
      </c>
    </row>
    <row r="380" spans="1:4" x14ac:dyDescent="0.25">
      <c r="A380" s="28" t="s">
        <v>589</v>
      </c>
      <c r="B380" s="28">
        <v>5150.69</v>
      </c>
      <c r="C380" s="28" t="s">
        <v>45</v>
      </c>
      <c r="D380" s="28" t="s">
        <v>1056</v>
      </c>
    </row>
    <row r="381" spans="1:4" x14ac:dyDescent="0.25">
      <c r="A381" s="28" t="s">
        <v>605</v>
      </c>
      <c r="B381" s="28">
        <v>1345.08</v>
      </c>
      <c r="C381" s="28" t="s">
        <v>45</v>
      </c>
      <c r="D381" s="28" t="s">
        <v>1057</v>
      </c>
    </row>
    <row r="382" spans="1:4" x14ac:dyDescent="0.25">
      <c r="A382" s="28" t="s">
        <v>607</v>
      </c>
      <c r="B382" s="28">
        <v>4443.06</v>
      </c>
      <c r="C382" s="28" t="s">
        <v>45</v>
      </c>
      <c r="D382" s="28" t="s">
        <v>1058</v>
      </c>
    </row>
    <row r="383" spans="1:4" x14ac:dyDescent="0.25">
      <c r="A383" s="28" t="s">
        <v>609</v>
      </c>
      <c r="B383" s="28">
        <v>3525.63</v>
      </c>
      <c r="C383" s="28" t="s">
        <v>45</v>
      </c>
      <c r="D383" s="28" t="s">
        <v>1059</v>
      </c>
    </row>
    <row r="384" spans="1:4" x14ac:dyDescent="0.25">
      <c r="A384" s="28" t="s">
        <v>611</v>
      </c>
      <c r="B384" s="28">
        <v>1335.52</v>
      </c>
      <c r="C384" s="28" t="s">
        <v>45</v>
      </c>
      <c r="D384" s="28" t="s">
        <v>1060</v>
      </c>
    </row>
    <row r="385" spans="1:4" x14ac:dyDescent="0.25">
      <c r="A385" s="28" t="s">
        <v>613</v>
      </c>
      <c r="B385" s="28">
        <v>3076</v>
      </c>
      <c r="C385" s="28" t="s">
        <v>45</v>
      </c>
      <c r="D385" s="28" t="s">
        <v>1061</v>
      </c>
    </row>
    <row r="386" spans="1:4" x14ac:dyDescent="0.25">
      <c r="A386" s="28" t="s">
        <v>615</v>
      </c>
      <c r="B386" s="28">
        <v>4484.91</v>
      </c>
      <c r="C386" s="28" t="s">
        <v>45</v>
      </c>
      <c r="D386" s="28" t="s">
        <v>1062</v>
      </c>
    </row>
    <row r="387" spans="1:4" x14ac:dyDescent="0.25">
      <c r="A387" s="28" t="s">
        <v>617</v>
      </c>
      <c r="B387" s="28">
        <v>267.38</v>
      </c>
      <c r="C387" s="28" t="s">
        <v>45</v>
      </c>
      <c r="D387" s="28" t="s">
        <v>1063</v>
      </c>
    </row>
    <row r="388" spans="1:4" x14ac:dyDescent="0.25">
      <c r="A388" s="28" t="s">
        <v>619</v>
      </c>
      <c r="B388" s="28">
        <v>15498.16</v>
      </c>
      <c r="C388" s="28" t="s">
        <v>45</v>
      </c>
      <c r="D388" s="28" t="s">
        <v>1064</v>
      </c>
    </row>
    <row r="389" spans="1:4" x14ac:dyDescent="0.25">
      <c r="A389" s="28" t="s">
        <v>621</v>
      </c>
      <c r="B389" s="28">
        <v>34605.28</v>
      </c>
      <c r="C389" s="28" t="s">
        <v>45</v>
      </c>
      <c r="D389" s="28" t="s">
        <v>1065</v>
      </c>
    </row>
    <row r="390" spans="1:4" x14ac:dyDescent="0.25">
      <c r="A390" s="28" t="s">
        <v>623</v>
      </c>
      <c r="B390" s="28">
        <v>5129.75</v>
      </c>
      <c r="C390" s="28" t="s">
        <v>45</v>
      </c>
      <c r="D390" s="28" t="s">
        <v>1066</v>
      </c>
    </row>
    <row r="391" spans="1:4" x14ac:dyDescent="0.25">
      <c r="A391" s="28" t="s">
        <v>625</v>
      </c>
      <c r="B391" s="28">
        <v>3881.27</v>
      </c>
      <c r="C391" s="28" t="s">
        <v>45</v>
      </c>
      <c r="D391" s="28" t="s">
        <v>1067</v>
      </c>
    </row>
    <row r="392" spans="1:4" x14ac:dyDescent="0.25">
      <c r="A392" s="28" t="s">
        <v>627</v>
      </c>
      <c r="B392" s="28">
        <v>644.18</v>
      </c>
      <c r="C392" s="28" t="s">
        <v>45</v>
      </c>
      <c r="D392" s="28" t="s">
        <v>1068</v>
      </c>
    </row>
    <row r="393" spans="1:4" x14ac:dyDescent="0.25">
      <c r="A393" s="28" t="s">
        <v>631</v>
      </c>
      <c r="B393" s="28">
        <v>2971.06</v>
      </c>
      <c r="C393" s="28" t="s">
        <v>45</v>
      </c>
      <c r="D393" s="28" t="s">
        <v>1069</v>
      </c>
    </row>
    <row r="394" spans="1:4" x14ac:dyDescent="0.25">
      <c r="A394" s="28" t="s">
        <v>633</v>
      </c>
      <c r="B394" s="28">
        <v>594.6</v>
      </c>
      <c r="C394" s="28" t="s">
        <v>45</v>
      </c>
      <c r="D394" s="28" t="s">
        <v>1070</v>
      </c>
    </row>
    <row r="395" spans="1:4" x14ac:dyDescent="0.25">
      <c r="A395" s="28" t="s">
        <v>635</v>
      </c>
      <c r="B395" s="28">
        <v>903.31</v>
      </c>
      <c r="C395" s="28" t="s">
        <v>45</v>
      </c>
      <c r="D395" s="28" t="s">
        <v>1071</v>
      </c>
    </row>
    <row r="396" spans="1:4" x14ac:dyDescent="0.25">
      <c r="A396" s="28" t="s">
        <v>637</v>
      </c>
      <c r="B396" s="28">
        <v>3196.57</v>
      </c>
      <c r="C396" s="28" t="s">
        <v>45</v>
      </c>
      <c r="D396" s="28" t="s">
        <v>1072</v>
      </c>
    </row>
    <row r="397" spans="1:4" x14ac:dyDescent="0.25">
      <c r="A397" s="28" t="s">
        <v>643</v>
      </c>
      <c r="B397" s="28">
        <v>6552.02</v>
      </c>
      <c r="C397" s="28" t="s">
        <v>45</v>
      </c>
      <c r="D397" s="28" t="s">
        <v>1073</v>
      </c>
    </row>
    <row r="398" spans="1:4" x14ac:dyDescent="0.25">
      <c r="A398" s="28" t="s">
        <v>646</v>
      </c>
      <c r="B398" s="28">
        <v>130.32</v>
      </c>
      <c r="C398" s="28" t="s">
        <v>45</v>
      </c>
      <c r="D398" s="28" t="s">
        <v>1074</v>
      </c>
    </row>
    <row r="399" spans="1:4" x14ac:dyDescent="0.25">
      <c r="A399" s="28" t="s">
        <v>648</v>
      </c>
      <c r="B399" s="28">
        <v>20737.24</v>
      </c>
      <c r="C399" s="28" t="s">
        <v>45</v>
      </c>
      <c r="D399" s="28" t="s">
        <v>1075</v>
      </c>
    </row>
    <row r="400" spans="1:4" x14ac:dyDescent="0.25">
      <c r="A400" s="28" t="s">
        <v>650</v>
      </c>
      <c r="B400" s="28">
        <v>235.56</v>
      </c>
      <c r="C400" s="28" t="s">
        <v>45</v>
      </c>
      <c r="D400" s="28" t="s">
        <v>1076</v>
      </c>
    </row>
    <row r="401" spans="1:4" x14ac:dyDescent="0.25">
      <c r="A401" s="28" t="s">
        <v>652</v>
      </c>
      <c r="B401" s="28">
        <v>240.63</v>
      </c>
      <c r="C401" s="28" t="s">
        <v>45</v>
      </c>
      <c r="D401" s="28" t="s">
        <v>1077</v>
      </c>
    </row>
    <row r="402" spans="1:4" x14ac:dyDescent="0.25">
      <c r="A402" s="28" t="s">
        <v>654</v>
      </c>
      <c r="B402" s="28">
        <v>180.44</v>
      </c>
      <c r="C402" s="28" t="s">
        <v>45</v>
      </c>
      <c r="D402" s="28" t="s">
        <v>1078</v>
      </c>
    </row>
    <row r="403" spans="1:4" x14ac:dyDescent="0.25">
      <c r="A403" s="28" t="s">
        <v>656</v>
      </c>
      <c r="B403" s="28">
        <v>445.47</v>
      </c>
      <c r="C403" s="28" t="s">
        <v>45</v>
      </c>
      <c r="D403" s="28" t="s">
        <v>1079</v>
      </c>
    </row>
    <row r="404" spans="1:4" x14ac:dyDescent="0.25">
      <c r="A404" s="28" t="s">
        <v>658</v>
      </c>
      <c r="B404" s="28">
        <v>315.8</v>
      </c>
      <c r="C404" s="28" t="s">
        <v>45</v>
      </c>
      <c r="D404" s="28" t="s">
        <v>1080</v>
      </c>
    </row>
    <row r="405" spans="1:4" x14ac:dyDescent="0.25">
      <c r="A405" s="28" t="s">
        <v>660</v>
      </c>
      <c r="B405" s="28">
        <v>7542.08</v>
      </c>
      <c r="C405" s="28" t="s">
        <v>45</v>
      </c>
      <c r="D405" s="28" t="s">
        <v>1081</v>
      </c>
    </row>
    <row r="406" spans="1:4" x14ac:dyDescent="0.25">
      <c r="A406" s="28" t="s">
        <v>662</v>
      </c>
      <c r="B406" s="28">
        <v>996.78</v>
      </c>
      <c r="C406" s="28" t="s">
        <v>45</v>
      </c>
      <c r="D406" s="28" t="s">
        <v>1082</v>
      </c>
    </row>
    <row r="407" spans="1:4" x14ac:dyDescent="0.25">
      <c r="A407" s="28" t="s">
        <v>664</v>
      </c>
      <c r="B407" s="28">
        <v>176.07</v>
      </c>
      <c r="C407" s="28" t="s">
        <v>45</v>
      </c>
      <c r="D407" s="28" t="s">
        <v>1083</v>
      </c>
    </row>
    <row r="408" spans="1:4" x14ac:dyDescent="0.25">
      <c r="A408" s="28" t="s">
        <v>666</v>
      </c>
      <c r="B408" s="28">
        <v>100.31</v>
      </c>
      <c r="C408" s="28" t="s">
        <v>45</v>
      </c>
      <c r="D408" s="28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Summary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nd-budget-tool</dc:creator>
  <dc:title/>
  <dc:subject/>
  <dc:description/>
  <cp:keywords/>
  <cp:category/>
  <cp:lastModifiedBy>Unknown</cp:lastModifiedBy>
  <dcterms:created xsi:type="dcterms:W3CDTF">2026-08-20T22:44:30Z</dcterms:created>
  <dcterms:modified xsi:type="dcterms:W3CDTF">2026-08-20T22:44:30Z</dcterms:modified>
</cp:coreProperties>
</file>